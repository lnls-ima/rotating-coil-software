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Ciclagem7 BQF10 (3) - Oficial" sheetId="25" r:id="rId1"/>
    <sheet name="Ciclagem10 BQF10" sheetId="20" r:id="rId2"/>
    <sheet name="Ciclagem9 BQF10" sheetId="19" r:id="rId3"/>
    <sheet name="Ciclagem8 BQF10 (4)" sheetId="23" r:id="rId4"/>
    <sheet name="Ciclagem8 BQF10 (3)" sheetId="22" r:id="rId5"/>
    <sheet name="Ciclagem8 BQF10 (2)" sheetId="21" r:id="rId6"/>
    <sheet name="Ciclagem8 BQF10" sheetId="18" r:id="rId7"/>
    <sheet name="Ciclagem7 BQF10 (2)" sheetId="24" r:id="rId8"/>
    <sheet name="Ciclagem7 BQF10" sheetId="17" r:id="rId9"/>
    <sheet name="Ciclagem6 BQF10" sheetId="16" r:id="rId10"/>
    <sheet name="Ciclagem5 BQF10 (3)" sheetId="15" r:id="rId11"/>
    <sheet name="Ciclagem5 BQF10 (2)" sheetId="14" r:id="rId12"/>
    <sheet name="Ciclagem5 BQF10" sheetId="13" r:id="rId13"/>
    <sheet name="Ciclagem4 BQF10" sheetId="12" r:id="rId14"/>
    <sheet name="Ciclagem3 BQF10 (2)" sheetId="10" r:id="rId15"/>
    <sheet name="Ciclagem3 BQF10" sheetId="9" r:id="rId16"/>
    <sheet name="Original - Ciclagem1 BQF10 (3)" sheetId="8" r:id="rId17"/>
    <sheet name="Ciclagem2 BQF10 (2)" sheetId="7" r:id="rId18"/>
    <sheet name="Ciclagem2 BQF10" sheetId="6" r:id="rId19"/>
    <sheet name="Original - Ciclagem1 BQF10 (2)" sheetId="5" r:id="rId20"/>
    <sheet name="Original - Ciclagem1 BQF10" sheetId="4" r:id="rId21"/>
  </sheets>
  <externalReferences>
    <externalReference r:id="rId22"/>
  </externalReferences>
  <calcPr calcId="145621" concurrentCalc="0"/>
</workbook>
</file>

<file path=xl/calcChain.xml><?xml version="1.0" encoding="utf-8"?>
<calcChain xmlns="http://schemas.openxmlformats.org/spreadsheetml/2006/main">
  <c r="A24" i="25" l="1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C58" i="25"/>
  <c r="B58" i="25"/>
  <c r="C57" i="25"/>
  <c r="B57" i="25"/>
  <c r="C56" i="25"/>
  <c r="B56" i="25"/>
  <c r="C55" i="25"/>
  <c r="B55" i="25"/>
  <c r="C54" i="25"/>
  <c r="B54" i="25"/>
  <c r="C53" i="25"/>
  <c r="B53" i="25"/>
  <c r="C52" i="25"/>
  <c r="B52" i="25"/>
  <c r="C51" i="25"/>
  <c r="B51" i="25"/>
  <c r="C50" i="25"/>
  <c r="B50" i="25"/>
  <c r="C49" i="25"/>
  <c r="B49" i="25"/>
  <c r="C48" i="25"/>
  <c r="B48" i="25"/>
  <c r="C47" i="25"/>
  <c r="B47" i="25"/>
  <c r="C46" i="25"/>
  <c r="B46" i="25"/>
  <c r="C45" i="25"/>
  <c r="B45" i="25"/>
  <c r="C44" i="25"/>
  <c r="B44" i="25"/>
  <c r="C43" i="25"/>
  <c r="B43" i="25"/>
  <c r="C42" i="25"/>
  <c r="B42" i="25"/>
  <c r="C41" i="25"/>
  <c r="B41" i="25"/>
  <c r="C40" i="25"/>
  <c r="B40" i="25"/>
  <c r="C39" i="25"/>
  <c r="B39" i="25"/>
  <c r="C38" i="25"/>
  <c r="B38" i="25"/>
  <c r="C37" i="25"/>
  <c r="B37" i="25"/>
  <c r="C36" i="25"/>
  <c r="B36" i="25"/>
  <c r="C35" i="25"/>
  <c r="B35" i="25"/>
  <c r="C34" i="25"/>
  <c r="B34" i="25"/>
  <c r="C33" i="25"/>
  <c r="B33" i="25"/>
  <c r="C32" i="25"/>
  <c r="B32" i="25"/>
  <c r="C31" i="25"/>
  <c r="B31" i="25"/>
  <c r="C30" i="25"/>
  <c r="B30" i="25"/>
  <c r="C29" i="25"/>
  <c r="B29" i="25"/>
  <c r="C28" i="25"/>
  <c r="B28" i="25"/>
  <c r="C27" i="25"/>
  <c r="B27" i="25"/>
  <c r="C26" i="25"/>
  <c r="B26" i="25"/>
  <c r="C25" i="25"/>
  <c r="B25" i="25"/>
  <c r="C24" i="25"/>
  <c r="B24" i="25"/>
  <c r="C23" i="25"/>
  <c r="B23" i="25"/>
  <c r="H20" i="25"/>
  <c r="G20" i="25"/>
  <c r="F20" i="25"/>
  <c r="E20" i="25"/>
  <c r="D20" i="25"/>
  <c r="C20" i="25"/>
  <c r="B20" i="25"/>
  <c r="A20" i="25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C58" i="24"/>
  <c r="B58" i="24"/>
  <c r="C57" i="24"/>
  <c r="B57" i="24"/>
  <c r="C56" i="24"/>
  <c r="B56" i="24"/>
  <c r="C55" i="24"/>
  <c r="B55" i="24"/>
  <c r="C54" i="24"/>
  <c r="B54" i="24"/>
  <c r="C53" i="24"/>
  <c r="B53" i="24"/>
  <c r="C52" i="24"/>
  <c r="B52" i="24"/>
  <c r="C51" i="24"/>
  <c r="B51" i="24"/>
  <c r="C50" i="24"/>
  <c r="B50" i="24"/>
  <c r="C49" i="24"/>
  <c r="B49" i="24"/>
  <c r="C48" i="24"/>
  <c r="B48" i="24"/>
  <c r="C47" i="24"/>
  <c r="B47" i="24"/>
  <c r="C46" i="24"/>
  <c r="B46" i="24"/>
  <c r="C45" i="24"/>
  <c r="B45" i="24"/>
  <c r="C44" i="24"/>
  <c r="B44" i="24"/>
  <c r="C43" i="24"/>
  <c r="B43" i="24"/>
  <c r="C42" i="24"/>
  <c r="B42" i="24"/>
  <c r="C41" i="24"/>
  <c r="B41" i="24"/>
  <c r="C40" i="24"/>
  <c r="B40" i="24"/>
  <c r="C39" i="24"/>
  <c r="B39" i="24"/>
  <c r="C38" i="24"/>
  <c r="B38" i="24"/>
  <c r="C37" i="24"/>
  <c r="B37" i="24"/>
  <c r="C36" i="24"/>
  <c r="B36" i="24"/>
  <c r="C35" i="24"/>
  <c r="B35" i="24"/>
  <c r="C34" i="24"/>
  <c r="B34" i="24"/>
  <c r="C33" i="24"/>
  <c r="B33" i="24"/>
  <c r="C32" i="24"/>
  <c r="B32" i="24"/>
  <c r="C31" i="24"/>
  <c r="B31" i="24"/>
  <c r="C30" i="24"/>
  <c r="B30" i="24"/>
  <c r="C29" i="24"/>
  <c r="B29" i="24"/>
  <c r="C28" i="24"/>
  <c r="B28" i="24"/>
  <c r="C27" i="24"/>
  <c r="B27" i="24"/>
  <c r="C26" i="24"/>
  <c r="B26" i="24"/>
  <c r="C25" i="24"/>
  <c r="B25" i="24"/>
  <c r="C24" i="24"/>
  <c r="B24" i="24"/>
  <c r="C23" i="24"/>
  <c r="B23" i="24"/>
  <c r="H20" i="24"/>
  <c r="G20" i="24"/>
  <c r="F20" i="24"/>
  <c r="E20" i="24"/>
  <c r="D20" i="24"/>
  <c r="C20" i="24"/>
  <c r="B20" i="24"/>
  <c r="A20" i="24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C58" i="23"/>
  <c r="B58" i="23"/>
  <c r="C57" i="23"/>
  <c r="B57" i="23"/>
  <c r="C56" i="23"/>
  <c r="B56" i="23"/>
  <c r="C55" i="23"/>
  <c r="B55" i="23"/>
  <c r="C54" i="23"/>
  <c r="B54" i="23"/>
  <c r="C53" i="23"/>
  <c r="B53" i="23"/>
  <c r="C52" i="23"/>
  <c r="B52" i="23"/>
  <c r="C51" i="23"/>
  <c r="B51" i="23"/>
  <c r="C50" i="23"/>
  <c r="B50" i="23"/>
  <c r="C49" i="23"/>
  <c r="B49" i="23"/>
  <c r="C48" i="23"/>
  <c r="B48" i="23"/>
  <c r="C47" i="23"/>
  <c r="B47" i="23"/>
  <c r="C46" i="23"/>
  <c r="B46" i="23"/>
  <c r="C45" i="23"/>
  <c r="B45" i="23"/>
  <c r="C44" i="23"/>
  <c r="B44" i="23"/>
  <c r="C43" i="23"/>
  <c r="B43" i="23"/>
  <c r="C42" i="23"/>
  <c r="B42" i="23"/>
  <c r="C41" i="23"/>
  <c r="B41" i="23"/>
  <c r="C40" i="23"/>
  <c r="B40" i="23"/>
  <c r="C39" i="23"/>
  <c r="B39" i="23"/>
  <c r="C38" i="23"/>
  <c r="B38" i="23"/>
  <c r="C37" i="23"/>
  <c r="B37" i="23"/>
  <c r="C36" i="23"/>
  <c r="B36" i="23"/>
  <c r="C35" i="23"/>
  <c r="B35" i="23"/>
  <c r="C34" i="23"/>
  <c r="B34" i="23"/>
  <c r="C33" i="23"/>
  <c r="B33" i="23"/>
  <c r="C32" i="23"/>
  <c r="B32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C25" i="23"/>
  <c r="B25" i="23"/>
  <c r="C24" i="23"/>
  <c r="B24" i="23"/>
  <c r="C23" i="23"/>
  <c r="B23" i="23"/>
  <c r="H20" i="23"/>
  <c r="G20" i="23"/>
  <c r="F20" i="23"/>
  <c r="E20" i="23"/>
  <c r="D20" i="23"/>
  <c r="C20" i="23"/>
  <c r="B20" i="23"/>
  <c r="A20" i="23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C58" i="22"/>
  <c r="B58" i="22"/>
  <c r="C57" i="22"/>
  <c r="B57" i="22"/>
  <c r="C56" i="22"/>
  <c r="B56" i="22"/>
  <c r="C55" i="22"/>
  <c r="B55" i="22"/>
  <c r="C54" i="22"/>
  <c r="B54" i="22"/>
  <c r="C53" i="22"/>
  <c r="B53" i="22"/>
  <c r="C52" i="22"/>
  <c r="B52" i="22"/>
  <c r="C51" i="22"/>
  <c r="B51" i="22"/>
  <c r="C50" i="22"/>
  <c r="B50" i="22"/>
  <c r="C49" i="22"/>
  <c r="B49" i="22"/>
  <c r="C48" i="22"/>
  <c r="B48" i="22"/>
  <c r="C47" i="22"/>
  <c r="B47" i="22"/>
  <c r="C46" i="22"/>
  <c r="B46" i="22"/>
  <c r="C45" i="22"/>
  <c r="B45" i="22"/>
  <c r="C44" i="22"/>
  <c r="B44" i="22"/>
  <c r="C43" i="22"/>
  <c r="B43" i="22"/>
  <c r="C42" i="22"/>
  <c r="B42" i="22"/>
  <c r="C41" i="22"/>
  <c r="B41" i="22"/>
  <c r="C40" i="22"/>
  <c r="B40" i="22"/>
  <c r="C39" i="22"/>
  <c r="B39" i="22"/>
  <c r="C38" i="22"/>
  <c r="B38" i="22"/>
  <c r="C37" i="22"/>
  <c r="B37" i="22"/>
  <c r="C36" i="22"/>
  <c r="B36" i="22"/>
  <c r="C35" i="22"/>
  <c r="B35" i="22"/>
  <c r="C34" i="22"/>
  <c r="B34" i="22"/>
  <c r="C33" i="22"/>
  <c r="B33" i="22"/>
  <c r="C32" i="22"/>
  <c r="B32" i="22"/>
  <c r="C31" i="22"/>
  <c r="B31" i="22"/>
  <c r="C30" i="22"/>
  <c r="B30" i="22"/>
  <c r="C29" i="22"/>
  <c r="B29" i="22"/>
  <c r="C28" i="22"/>
  <c r="B28" i="22"/>
  <c r="C27" i="22"/>
  <c r="B27" i="22"/>
  <c r="C26" i="22"/>
  <c r="B26" i="22"/>
  <c r="C25" i="22"/>
  <c r="B25" i="22"/>
  <c r="C24" i="22"/>
  <c r="B24" i="22"/>
  <c r="C23" i="22"/>
  <c r="B23" i="22"/>
  <c r="H20" i="22"/>
  <c r="G20" i="22"/>
  <c r="F20" i="22"/>
  <c r="E20" i="22"/>
  <c r="D20" i="22"/>
  <c r="C20" i="22"/>
  <c r="B20" i="22"/>
  <c r="A20" i="22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C58" i="21"/>
  <c r="B58" i="21"/>
  <c r="C57" i="21"/>
  <c r="B57" i="21"/>
  <c r="C56" i="21"/>
  <c r="B56" i="21"/>
  <c r="C55" i="21"/>
  <c r="B55" i="21"/>
  <c r="C54" i="21"/>
  <c r="B54" i="21"/>
  <c r="C53" i="21"/>
  <c r="B53" i="21"/>
  <c r="C52" i="21"/>
  <c r="B52" i="21"/>
  <c r="C51" i="21"/>
  <c r="B51" i="21"/>
  <c r="C50" i="21"/>
  <c r="B50" i="21"/>
  <c r="C49" i="21"/>
  <c r="B49" i="21"/>
  <c r="C48" i="21"/>
  <c r="B48" i="21"/>
  <c r="C47" i="21"/>
  <c r="B47" i="21"/>
  <c r="C46" i="21"/>
  <c r="B46" i="21"/>
  <c r="C45" i="21"/>
  <c r="B45" i="21"/>
  <c r="C44" i="21"/>
  <c r="B44" i="21"/>
  <c r="C43" i="21"/>
  <c r="B43" i="21"/>
  <c r="C42" i="21"/>
  <c r="B42" i="21"/>
  <c r="C41" i="21"/>
  <c r="B41" i="21"/>
  <c r="C40" i="21"/>
  <c r="B40" i="21"/>
  <c r="C39" i="21"/>
  <c r="B39" i="21"/>
  <c r="C38" i="21"/>
  <c r="B38" i="21"/>
  <c r="C37" i="21"/>
  <c r="B37" i="21"/>
  <c r="C36" i="21"/>
  <c r="B36" i="21"/>
  <c r="C35" i="21"/>
  <c r="B35" i="21"/>
  <c r="C34" i="21"/>
  <c r="B34" i="21"/>
  <c r="C33" i="21"/>
  <c r="B33" i="21"/>
  <c r="C32" i="21"/>
  <c r="B32" i="21"/>
  <c r="C31" i="21"/>
  <c r="B31" i="21"/>
  <c r="C30" i="21"/>
  <c r="B30" i="21"/>
  <c r="C29" i="21"/>
  <c r="B29" i="21"/>
  <c r="C28" i="21"/>
  <c r="B28" i="21"/>
  <c r="C27" i="21"/>
  <c r="B27" i="21"/>
  <c r="C26" i="21"/>
  <c r="B26" i="21"/>
  <c r="C25" i="21"/>
  <c r="B25" i="21"/>
  <c r="C24" i="21"/>
  <c r="B24" i="21"/>
  <c r="C23" i="21"/>
  <c r="B23" i="21"/>
  <c r="H20" i="21"/>
  <c r="G20" i="21"/>
  <c r="F20" i="21"/>
  <c r="E20" i="21"/>
  <c r="D20" i="21"/>
  <c r="C20" i="21"/>
  <c r="B20" i="21"/>
  <c r="A20" i="21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C58" i="20"/>
  <c r="B58" i="20"/>
  <c r="C57" i="20"/>
  <c r="B57" i="20"/>
  <c r="C56" i="20"/>
  <c r="B56" i="20"/>
  <c r="C55" i="20"/>
  <c r="B55" i="20"/>
  <c r="C54" i="20"/>
  <c r="B54" i="20"/>
  <c r="C53" i="20"/>
  <c r="B53" i="20"/>
  <c r="C52" i="20"/>
  <c r="B52" i="20"/>
  <c r="C51" i="20"/>
  <c r="B51" i="20"/>
  <c r="C50" i="20"/>
  <c r="B50" i="20"/>
  <c r="C49" i="20"/>
  <c r="B49" i="20"/>
  <c r="C48" i="20"/>
  <c r="B48" i="20"/>
  <c r="C47" i="20"/>
  <c r="B47" i="20"/>
  <c r="C46" i="20"/>
  <c r="B46" i="20"/>
  <c r="C45" i="20"/>
  <c r="B45" i="20"/>
  <c r="C44" i="20"/>
  <c r="B44" i="20"/>
  <c r="C43" i="20"/>
  <c r="B43" i="20"/>
  <c r="C42" i="20"/>
  <c r="B42" i="20"/>
  <c r="C41" i="20"/>
  <c r="B41" i="20"/>
  <c r="C40" i="20"/>
  <c r="B40" i="20"/>
  <c r="C39" i="20"/>
  <c r="B39" i="20"/>
  <c r="C38" i="20"/>
  <c r="B38" i="20"/>
  <c r="C37" i="20"/>
  <c r="B37" i="20"/>
  <c r="C36" i="20"/>
  <c r="B36" i="20"/>
  <c r="C35" i="20"/>
  <c r="B35" i="20"/>
  <c r="C34" i="20"/>
  <c r="B34" i="20"/>
  <c r="C33" i="20"/>
  <c r="B33" i="20"/>
  <c r="C32" i="20"/>
  <c r="B32" i="20"/>
  <c r="C31" i="20"/>
  <c r="B31" i="20"/>
  <c r="C30" i="20"/>
  <c r="B30" i="20"/>
  <c r="C29" i="20"/>
  <c r="B29" i="20"/>
  <c r="C28" i="20"/>
  <c r="B28" i="20"/>
  <c r="C27" i="20"/>
  <c r="B27" i="20"/>
  <c r="C26" i="20"/>
  <c r="B26" i="20"/>
  <c r="C25" i="20"/>
  <c r="B25" i="20"/>
  <c r="C24" i="20"/>
  <c r="B24" i="20"/>
  <c r="C23" i="20"/>
  <c r="B23" i="20"/>
  <c r="H20" i="20"/>
  <c r="G20" i="20"/>
  <c r="F20" i="20"/>
  <c r="E20" i="20"/>
  <c r="D20" i="20"/>
  <c r="C20" i="20"/>
  <c r="B20" i="20"/>
  <c r="A20" i="20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C58" i="19"/>
  <c r="B58" i="19"/>
  <c r="C57" i="19"/>
  <c r="B57" i="19"/>
  <c r="C56" i="19"/>
  <c r="B56" i="19"/>
  <c r="C55" i="19"/>
  <c r="B55" i="19"/>
  <c r="C54" i="19"/>
  <c r="B54" i="19"/>
  <c r="C53" i="19"/>
  <c r="B53" i="19"/>
  <c r="C52" i="19"/>
  <c r="B52" i="19"/>
  <c r="C51" i="19"/>
  <c r="B51" i="19"/>
  <c r="C50" i="19"/>
  <c r="B50" i="19"/>
  <c r="C49" i="19"/>
  <c r="B49" i="19"/>
  <c r="C48" i="19"/>
  <c r="B48" i="19"/>
  <c r="C47" i="19"/>
  <c r="B47" i="19"/>
  <c r="C46" i="19"/>
  <c r="B46" i="19"/>
  <c r="C45" i="19"/>
  <c r="B45" i="19"/>
  <c r="C44" i="19"/>
  <c r="B44" i="19"/>
  <c r="C43" i="19"/>
  <c r="B43" i="19"/>
  <c r="C42" i="19"/>
  <c r="B42" i="19"/>
  <c r="C41" i="19"/>
  <c r="B41" i="19"/>
  <c r="C40" i="19"/>
  <c r="B40" i="19"/>
  <c r="C39" i="19"/>
  <c r="B39" i="19"/>
  <c r="C38" i="19"/>
  <c r="B38" i="19"/>
  <c r="C37" i="19"/>
  <c r="B37" i="19"/>
  <c r="C36" i="19"/>
  <c r="B36" i="19"/>
  <c r="C35" i="19"/>
  <c r="B35" i="19"/>
  <c r="C34" i="19"/>
  <c r="B34" i="19"/>
  <c r="C33" i="19"/>
  <c r="B33" i="19"/>
  <c r="C32" i="19"/>
  <c r="B32" i="19"/>
  <c r="C31" i="19"/>
  <c r="B31" i="19"/>
  <c r="C30" i="19"/>
  <c r="B30" i="19"/>
  <c r="C29" i="19"/>
  <c r="B29" i="19"/>
  <c r="C28" i="19"/>
  <c r="B28" i="19"/>
  <c r="C27" i="19"/>
  <c r="B27" i="19"/>
  <c r="C26" i="19"/>
  <c r="B26" i="19"/>
  <c r="C25" i="19"/>
  <c r="B25" i="19"/>
  <c r="C24" i="19"/>
  <c r="B24" i="19"/>
  <c r="C23" i="19"/>
  <c r="B23" i="19"/>
  <c r="H20" i="19"/>
  <c r="G20" i="19"/>
  <c r="F20" i="19"/>
  <c r="E20" i="19"/>
  <c r="D20" i="19"/>
  <c r="C20" i="19"/>
  <c r="B20" i="19"/>
  <c r="A20" i="19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H20" i="18"/>
  <c r="G20" i="18"/>
  <c r="F20" i="18"/>
  <c r="E20" i="18"/>
  <c r="D20" i="18"/>
  <c r="C20" i="18"/>
  <c r="B20" i="18"/>
  <c r="A20" i="18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C58" i="17"/>
  <c r="B58" i="17"/>
  <c r="C57" i="17"/>
  <c r="B57" i="17"/>
  <c r="C56" i="17"/>
  <c r="B56" i="17"/>
  <c r="C55" i="17"/>
  <c r="B55" i="17"/>
  <c r="C54" i="17"/>
  <c r="B54" i="17"/>
  <c r="C53" i="17"/>
  <c r="B53" i="17"/>
  <c r="C52" i="17"/>
  <c r="B52" i="17"/>
  <c r="C51" i="17"/>
  <c r="B51" i="17"/>
  <c r="C50" i="17"/>
  <c r="B50" i="17"/>
  <c r="C49" i="17"/>
  <c r="B49" i="17"/>
  <c r="C48" i="17"/>
  <c r="B48" i="17"/>
  <c r="C47" i="17"/>
  <c r="B47" i="17"/>
  <c r="C46" i="17"/>
  <c r="B46" i="17"/>
  <c r="C45" i="17"/>
  <c r="B45" i="17"/>
  <c r="C44" i="17"/>
  <c r="B44" i="17"/>
  <c r="C43" i="17"/>
  <c r="B43" i="17"/>
  <c r="C42" i="17"/>
  <c r="B42" i="17"/>
  <c r="C41" i="17"/>
  <c r="B41" i="17"/>
  <c r="C40" i="17"/>
  <c r="B40" i="17"/>
  <c r="C39" i="17"/>
  <c r="B39" i="17"/>
  <c r="C38" i="17"/>
  <c r="B38" i="17"/>
  <c r="C37" i="17"/>
  <c r="B37" i="17"/>
  <c r="C36" i="17"/>
  <c r="B36" i="17"/>
  <c r="C35" i="17"/>
  <c r="B35" i="17"/>
  <c r="C34" i="17"/>
  <c r="B34" i="17"/>
  <c r="C33" i="17"/>
  <c r="B33" i="17"/>
  <c r="C32" i="17"/>
  <c r="B32" i="17"/>
  <c r="C31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H20" i="17"/>
  <c r="G20" i="17"/>
  <c r="F20" i="17"/>
  <c r="E20" i="17"/>
  <c r="D20" i="17"/>
  <c r="C20" i="17"/>
  <c r="B20" i="17"/>
  <c r="A20" i="17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C58" i="16"/>
  <c r="B58" i="16"/>
  <c r="C57" i="16"/>
  <c r="B57" i="16"/>
  <c r="C56" i="16"/>
  <c r="B56" i="16"/>
  <c r="C55" i="16"/>
  <c r="B55" i="16"/>
  <c r="C54" i="16"/>
  <c r="B54" i="16"/>
  <c r="C53" i="16"/>
  <c r="B53" i="16"/>
  <c r="C52" i="16"/>
  <c r="B52" i="16"/>
  <c r="C51" i="16"/>
  <c r="B51" i="16"/>
  <c r="C50" i="16"/>
  <c r="B50" i="16"/>
  <c r="C49" i="16"/>
  <c r="B49" i="16"/>
  <c r="C48" i="16"/>
  <c r="B48" i="16"/>
  <c r="C47" i="16"/>
  <c r="B47" i="16"/>
  <c r="C46" i="16"/>
  <c r="B46" i="16"/>
  <c r="C45" i="16"/>
  <c r="B45" i="16"/>
  <c r="C44" i="16"/>
  <c r="B44" i="16"/>
  <c r="C43" i="16"/>
  <c r="B43" i="16"/>
  <c r="C42" i="16"/>
  <c r="B42" i="16"/>
  <c r="C41" i="16"/>
  <c r="B41" i="16"/>
  <c r="C40" i="16"/>
  <c r="B40" i="16"/>
  <c r="C39" i="16"/>
  <c r="B39" i="16"/>
  <c r="C38" i="16"/>
  <c r="B38" i="16"/>
  <c r="C37" i="16"/>
  <c r="B37" i="16"/>
  <c r="C36" i="16"/>
  <c r="B36" i="16"/>
  <c r="C35" i="16"/>
  <c r="B35" i="16"/>
  <c r="C34" i="16"/>
  <c r="B34" i="16"/>
  <c r="C33" i="16"/>
  <c r="B33" i="16"/>
  <c r="C32" i="16"/>
  <c r="B32" i="16"/>
  <c r="C31" i="16"/>
  <c r="B31" i="16"/>
  <c r="C30" i="16"/>
  <c r="B30" i="16"/>
  <c r="C29" i="16"/>
  <c r="B29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H20" i="16"/>
  <c r="G20" i="16"/>
  <c r="F20" i="16"/>
  <c r="E20" i="16"/>
  <c r="D20" i="16"/>
  <c r="C20" i="16"/>
  <c r="B20" i="16"/>
  <c r="A20" i="16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H20" i="15"/>
  <c r="G20" i="15"/>
  <c r="F20" i="15"/>
  <c r="E20" i="15"/>
  <c r="D20" i="15"/>
  <c r="C20" i="15"/>
  <c r="B20" i="15"/>
  <c r="A20" i="15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C58" i="14"/>
  <c r="B58" i="14"/>
  <c r="C57" i="14"/>
  <c r="B57" i="14"/>
  <c r="C56" i="14"/>
  <c r="B56" i="14"/>
  <c r="C55" i="14"/>
  <c r="B55" i="14"/>
  <c r="C54" i="14"/>
  <c r="B54" i="14"/>
  <c r="C53" i="14"/>
  <c r="B53" i="14"/>
  <c r="C52" i="14"/>
  <c r="B52" i="14"/>
  <c r="C51" i="14"/>
  <c r="B51" i="14"/>
  <c r="C50" i="14"/>
  <c r="B50" i="14"/>
  <c r="C49" i="14"/>
  <c r="B49" i="14"/>
  <c r="C48" i="14"/>
  <c r="B48" i="14"/>
  <c r="C47" i="14"/>
  <c r="B47" i="14"/>
  <c r="C46" i="14"/>
  <c r="B46" i="14"/>
  <c r="C45" i="14"/>
  <c r="B45" i="14"/>
  <c r="C44" i="14"/>
  <c r="B44" i="14"/>
  <c r="C43" i="14"/>
  <c r="B43" i="14"/>
  <c r="C42" i="14"/>
  <c r="B42" i="14"/>
  <c r="C41" i="14"/>
  <c r="B41" i="14"/>
  <c r="C40" i="14"/>
  <c r="B40" i="14"/>
  <c r="C39" i="14"/>
  <c r="B39" i="14"/>
  <c r="C38" i="14"/>
  <c r="B38" i="14"/>
  <c r="C37" i="14"/>
  <c r="B37" i="14"/>
  <c r="C36" i="14"/>
  <c r="B36" i="14"/>
  <c r="C35" i="14"/>
  <c r="B35" i="14"/>
  <c r="C34" i="14"/>
  <c r="B34" i="14"/>
  <c r="C33" i="14"/>
  <c r="B33" i="14"/>
  <c r="C32" i="14"/>
  <c r="B32" i="14"/>
  <c r="C31" i="14"/>
  <c r="B31" i="14"/>
  <c r="C30" i="14"/>
  <c r="B30" i="14"/>
  <c r="C29" i="14"/>
  <c r="B29" i="14"/>
  <c r="C28" i="14"/>
  <c r="B28" i="14"/>
  <c r="C27" i="14"/>
  <c r="B27" i="14"/>
  <c r="C26" i="14"/>
  <c r="B26" i="14"/>
  <c r="C25" i="14"/>
  <c r="B25" i="14"/>
  <c r="C24" i="14"/>
  <c r="B24" i="14"/>
  <c r="C23" i="14"/>
  <c r="B23" i="14"/>
  <c r="H20" i="14"/>
  <c r="G20" i="14"/>
  <c r="F20" i="14"/>
  <c r="E20" i="14"/>
  <c r="D20" i="14"/>
  <c r="C20" i="14"/>
  <c r="B20" i="14"/>
  <c r="A20" i="14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C58" i="13"/>
  <c r="B58" i="13"/>
  <c r="C57" i="13"/>
  <c r="B57" i="13"/>
  <c r="C56" i="13"/>
  <c r="B56" i="13"/>
  <c r="C55" i="13"/>
  <c r="B55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48" i="13"/>
  <c r="B48" i="13"/>
  <c r="C47" i="13"/>
  <c r="B47" i="13"/>
  <c r="C46" i="13"/>
  <c r="B46" i="13"/>
  <c r="C45" i="13"/>
  <c r="B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H20" i="13"/>
  <c r="G20" i="13"/>
  <c r="F20" i="13"/>
  <c r="E20" i="13"/>
  <c r="D20" i="13"/>
  <c r="C20" i="13"/>
  <c r="B20" i="13"/>
  <c r="A20" i="13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C58" i="12"/>
  <c r="B58" i="12"/>
  <c r="C57" i="12"/>
  <c r="B57" i="12"/>
  <c r="C56" i="12"/>
  <c r="B56" i="12"/>
  <c r="C55" i="12"/>
  <c r="B55" i="12"/>
  <c r="C54" i="12"/>
  <c r="B54" i="12"/>
  <c r="C53" i="12"/>
  <c r="B53" i="12"/>
  <c r="C52" i="12"/>
  <c r="B52" i="12"/>
  <c r="C51" i="12"/>
  <c r="B51" i="12"/>
  <c r="C50" i="12"/>
  <c r="B50" i="12"/>
  <c r="C49" i="12"/>
  <c r="B49" i="12"/>
  <c r="C48" i="12"/>
  <c r="B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H20" i="12"/>
  <c r="G20" i="12"/>
  <c r="F20" i="12"/>
  <c r="E20" i="12"/>
  <c r="D20" i="12"/>
  <c r="C20" i="12"/>
  <c r="B20" i="12"/>
  <c r="A20" i="12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C50" i="10"/>
  <c r="B50" i="10"/>
  <c r="C49" i="10"/>
  <c r="B49" i="10"/>
  <c r="C48" i="10"/>
  <c r="B48" i="10"/>
  <c r="C47" i="10"/>
  <c r="B47" i="10"/>
  <c r="C46" i="10"/>
  <c r="B46" i="10"/>
  <c r="C45" i="10"/>
  <c r="B45" i="10"/>
  <c r="C44" i="10"/>
  <c r="B44" i="10"/>
  <c r="C43" i="10"/>
  <c r="B43" i="10"/>
  <c r="C42" i="10"/>
  <c r="B42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H20" i="10"/>
  <c r="G20" i="10"/>
  <c r="F20" i="10"/>
  <c r="E20" i="10"/>
  <c r="D20" i="10"/>
  <c r="C20" i="10"/>
  <c r="B20" i="10"/>
  <c r="A20" i="10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H20" i="9"/>
  <c r="G20" i="9"/>
  <c r="F20" i="9"/>
  <c r="E20" i="9"/>
  <c r="D20" i="9"/>
  <c r="C20" i="9"/>
  <c r="B20" i="9"/>
  <c r="A20" i="9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H20" i="8"/>
  <c r="G20" i="8"/>
  <c r="F20" i="8"/>
  <c r="E20" i="8"/>
  <c r="D20" i="8"/>
  <c r="C20" i="8"/>
  <c r="B20" i="8"/>
  <c r="A20" i="8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H20" i="7"/>
  <c r="G20" i="7"/>
  <c r="F20" i="7"/>
  <c r="E20" i="7"/>
  <c r="D20" i="7"/>
  <c r="C20" i="7"/>
  <c r="B20" i="7"/>
  <c r="A20" i="7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H20" i="6"/>
  <c r="G20" i="6"/>
  <c r="F20" i="6"/>
  <c r="E20" i="6"/>
  <c r="D20" i="6"/>
  <c r="C20" i="6"/>
  <c r="B20" i="6"/>
  <c r="A20" i="6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H20" i="5"/>
  <c r="G20" i="5"/>
  <c r="F20" i="5"/>
  <c r="E20" i="5"/>
  <c r="D20" i="5"/>
  <c r="C20" i="5"/>
  <c r="B20" i="5"/>
  <c r="A20" i="5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H20" i="4"/>
  <c r="G20" i="4"/>
  <c r="F20" i="4"/>
  <c r="E20" i="4"/>
  <c r="D20" i="4"/>
  <c r="C20" i="4"/>
  <c r="B20" i="4"/>
  <c r="A20" i="4"/>
</calcChain>
</file>

<file path=xl/sharedStrings.xml><?xml version="1.0" encoding="utf-8"?>
<sst xmlns="http://schemas.openxmlformats.org/spreadsheetml/2006/main" count="525" uniqueCount="25">
  <si>
    <t>n</t>
  </si>
  <si>
    <t>avg_L.Nn(T/m^n-2)</t>
  </si>
  <si>
    <t>std_L.Nn(T/m^n-2)</t>
  </si>
  <si>
    <t>avg_L.Sn(T/m^n-2)</t>
  </si>
  <si>
    <t>std_L.Sn(T/m^n-2)</t>
  </si>
  <si>
    <t>avg_L.Bn(T/m^n-2)</t>
  </si>
  <si>
    <t>std_L.Bn(T/m^n-2)</t>
  </si>
  <si>
    <t xml:space="preserve">avg_angulo(rad)  </t>
  </si>
  <si>
    <t xml:space="preserve">std_angulo(rad)  </t>
  </si>
  <si>
    <t>avg_Nn/NnIma@17.5mm</t>
  </si>
  <si>
    <t>std_Nn/NnIma@17.5mm</t>
  </si>
  <si>
    <t>avg_Sn/NnIma@17.5mm</t>
  </si>
  <si>
    <t>std_Sn/NnIma@17.5mm</t>
  </si>
  <si>
    <t>BQF-009 I = 110A</t>
  </si>
  <si>
    <t>Gradiente [T]</t>
  </si>
  <si>
    <t>Erro Gradiente [T]</t>
  </si>
  <si>
    <r>
      <t>Desl. Normal [</t>
    </r>
    <r>
      <rPr>
        <b/>
        <sz val="11"/>
        <color theme="1"/>
        <rFont val="Calibri"/>
        <family val="2"/>
      </rPr>
      <t>µm]</t>
    </r>
  </si>
  <si>
    <t>Erro Desl. Normal [µm]</t>
  </si>
  <si>
    <t>Desl. Skew [µm]</t>
  </si>
  <si>
    <t>Erro Desl. Skew [µm]</t>
  </si>
  <si>
    <t>Ângulo [rad]</t>
  </si>
  <si>
    <t>Erro Ângulo [rad]</t>
  </si>
  <si>
    <t>PosX[m]</t>
  </si>
  <si>
    <t>Residual Normal</t>
  </si>
  <si>
    <t>Residual Skew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</si>
</sst>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"/>
    <numFmt numFmtId="165" formatCode="0.0000000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1" fontId="0" fillId="0" borderId="0" xfId="0" applyNumberFormat="1"/>
    <xf numFmtId="11" fontId="0" fillId="2" borderId="0" xfId="0" applyNumberFormat="1" applyFill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164" fontId="1" fillId="0" borderId="1" xfId="0" applyNumberFormat="1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6" xfId="0" applyBorder="1"/>
    <xf numFmtId="11" fontId="0" fillId="0" borderId="0" xfId="0" applyNumberFormat="1" applyBorder="1"/>
    <xf numFmtId="165" fontId="0" fillId="0" borderId="1" xfId="0" applyNumberFormat="1" applyBorder="1"/>
    <xf numFmtId="165" fontId="0" fillId="0" borderId="2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'Ciclagem7 BQF10 (3) - Oficial'!$B$22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'Ciclagem7 BQF10 (3) - Oficial'!$A$23:$A$58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'Ciclagem7 BQF10 (3) - Oficial'!$B$23:$B$58</c:f>
              <c:numCache>
                <c:formatCode>0.0000000000E+00</c:formatCode>
                <c:ptCount val="36"/>
                <c:pt idx="0">
                  <c:v>-0.40601930599375463</c:v>
                </c:pt>
                <c:pt idx="1">
                  <c:v>-0.41829011796334431</c:v>
                </c:pt>
                <c:pt idx="2">
                  <c:v>-0.41562697584886088</c:v>
                </c:pt>
                <c:pt idx="3">
                  <c:v>-0.40265740556546842</c:v>
                </c:pt>
                <c:pt idx="4">
                  <c:v>-0.38288917825302604</c:v>
                </c:pt>
                <c:pt idx="5">
                  <c:v>-0.35882716200146036</c:v>
                </c:pt>
                <c:pt idx="6">
                  <c:v>-0.3321757407762933</c:v>
                </c:pt>
                <c:pt idx="7">
                  <c:v>-0.30404764828138159</c:v>
                </c:pt>
                <c:pt idx="8">
                  <c:v>-0.2751429543404792</c:v>
                </c:pt>
                <c:pt idx="9">
                  <c:v>-0.24588694696882737</c:v>
                </c:pt>
                <c:pt idx="10">
                  <c:v>-0.21652871504138693</c:v>
                </c:pt>
                <c:pt idx="11">
                  <c:v>-0.18720776897702801</c:v>
                </c:pt>
                <c:pt idx="12">
                  <c:v>-0.15799720508709347</c:v>
                </c:pt>
                <c:pt idx="13">
                  <c:v>-0.12893088738484326</c:v>
                </c:pt>
                <c:pt idx="14">
                  <c:v>-0.10002027402051757</c:v>
                </c:pt>
                <c:pt idx="15">
                  <c:v>-7.1264655208864658E-2</c:v>
                </c:pt>
                <c:pt idx="16">
                  <c:v>-4.2657080071442678E-2</c:v>
                </c:pt>
                <c:pt idx="17">
                  <c:v>-1.4187239622322944E-2</c:v>
                </c:pt>
                <c:pt idx="18">
                  <c:v>1.4158012190252325E-2</c:v>
                </c:pt>
                <c:pt idx="19">
                  <c:v>4.2396108825723089E-2</c:v>
                </c:pt>
                <c:pt idx="20">
                  <c:v>7.0551948048434232E-2</c:v>
                </c:pt>
                <c:pt idx="21">
                  <c:v>9.8662684451627125E-2</c:v>
                </c:pt>
                <c:pt idx="22">
                  <c:v>0.12678426310778559</c:v>
                </c:pt>
                <c:pt idx="23">
                  <c:v>0.15500027599130259</c:v>
                </c:pt>
                <c:pt idx="24">
                  <c:v>0.18343456807584299</c:v>
                </c:pt>
                <c:pt idx="25">
                  <c:v>0.21227055246450444</c:v>
                </c:pt>
                <c:pt idx="26">
                  <c:v>0.24178294396874822</c:v>
                </c:pt>
                <c:pt idx="27">
                  <c:v>0.27239248166546703</c:v>
                </c:pt>
                <c:pt idx="28">
                  <c:v>0.3047625974923554</c:v>
                </c:pt>
                <c:pt idx="29">
                  <c:v>0.33997102013916419</c:v>
                </c:pt>
                <c:pt idx="30">
                  <c:v>0.37981201959284477</c:v>
                </c:pt>
                <c:pt idx="31">
                  <c:v>0.42732059314219972</c:v>
                </c:pt>
                <c:pt idx="32">
                  <c:v>0.4876639874361936</c:v>
                </c:pt>
                <c:pt idx="33">
                  <c:v>0.56962587932525044</c:v>
                </c:pt>
                <c:pt idx="34">
                  <c:v>0.68802367429796352</c:v>
                </c:pt>
                <c:pt idx="35">
                  <c:v>0.86756148425784907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42688"/>
        <c:axId val="162643264"/>
      </c:scatterChart>
      <c:valAx>
        <c:axId val="16264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2643264"/>
        <c:crossesAt val="-10000000000"/>
        <c:crossBetween val="midCat"/>
      </c:valAx>
      <c:valAx>
        <c:axId val="162643264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62642688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'Ciclagem7 BQF10 (3) - Oficial'!$C$22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'Ciclagem7 BQF10 (3) - Oficial'!$A$23:$A$58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'Ciclagem7 BQF10 (3) - Oficial'!$C$23:$C$58</c:f>
              <c:numCache>
                <c:formatCode>0.0000000000E+00</c:formatCode>
                <c:ptCount val="36"/>
                <c:pt idx="0">
                  <c:v>-0.10472103894604669</c:v>
                </c:pt>
                <c:pt idx="1">
                  <c:v>-5.0136891953906491E-2</c:v>
                </c:pt>
                <c:pt idx="2">
                  <c:v>-2.0447442910243706E-2</c:v>
                </c:pt>
                <c:pt idx="3">
                  <c:v>-5.2855033796929607E-3</c:v>
                </c:pt>
                <c:pt idx="4">
                  <c:v>1.6456725834814445E-3</c:v>
                </c:pt>
                <c:pt idx="5">
                  <c:v>4.0907081967453338E-3</c:v>
                </c:pt>
                <c:pt idx="6">
                  <c:v>4.229564297157375E-3</c:v>
                </c:pt>
                <c:pt idx="7">
                  <c:v>3.3037611947997645E-3</c:v>
                </c:pt>
                <c:pt idx="8">
                  <c:v>2.0032165315719418E-3</c:v>
                </c:pt>
                <c:pt idx="9">
                  <c:v>6.9905103970304967E-4</c:v>
                </c:pt>
                <c:pt idx="10">
                  <c:v>-4.1957061308463912E-4</c:v>
                </c:pt>
                <c:pt idx="11">
                  <c:v>-1.2663695548768546E-3</c:v>
                </c:pt>
                <c:pt idx="12">
                  <c:v>-1.812494309938814E-3</c:v>
                </c:pt>
                <c:pt idx="13">
                  <c:v>-2.0600669387757639E-3</c:v>
                </c:pt>
                <c:pt idx="14">
                  <c:v>-2.0263358171999789E-3</c:v>
                </c:pt>
                <c:pt idx="15">
                  <c:v>-1.7338485339069396E-3</c:v>
                </c:pt>
                <c:pt idx="16">
                  <c:v>-1.2042307474648137E-3</c:v>
                </c:pt>
                <c:pt idx="17">
                  <c:v>-4.5427913992132445E-4</c:v>
                </c:pt>
                <c:pt idx="18">
                  <c:v>5.0641622717310204E-4</c:v>
                </c:pt>
                <c:pt idx="19">
                  <c:v>1.6769145620324883E-3</c:v>
                </c:pt>
                <c:pt idx="20">
                  <c:v>3.065972857461552E-3</c:v>
                </c:pt>
                <c:pt idx="21">
                  <c:v>4.693242428681404E-3</c:v>
                </c:pt>
                <c:pt idx="22">
                  <c:v>6.5912070088249512E-3</c:v>
                </c:pt>
                <c:pt idx="23">
                  <c:v>8.808607375970794E-3</c:v>
                </c:pt>
                <c:pt idx="24">
                  <c:v>1.1416430066953181E-2</c:v>
                </c:pt>
                <c:pt idx="25">
                  <c:v>1.4518138722313089E-2</c:v>
                </c:pt>
                <c:pt idx="26">
                  <c:v>1.8266763276976787E-2</c:v>
                </c:pt>
                <c:pt idx="27">
                  <c:v>2.2892754401269973E-2</c:v>
                </c:pt>
                <c:pt idx="28">
                  <c:v>2.8748102003668168E-2</c:v>
                </c:pt>
                <c:pt idx="29">
                  <c:v>3.6373944813632722E-2</c:v>
                </c:pt>
                <c:pt idx="30">
                  <c:v>4.6600463303213498E-2</c:v>
                </c:pt>
                <c:pt idx="31">
                  <c:v>6.0688780861559995E-2</c:v>
                </c:pt>
                <c:pt idx="32">
                  <c:v>8.052422497129634E-2</c:v>
                </c:pt>
                <c:pt idx="33">
                  <c:v>0.10886770926579177</c:v>
                </c:pt>
                <c:pt idx="34">
                  <c:v>0.14966600194377844</c:v>
                </c:pt>
                <c:pt idx="35">
                  <c:v>0.20841074675052945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82816"/>
        <c:axId val="202483392"/>
      </c:scatterChart>
      <c:valAx>
        <c:axId val="20248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483392"/>
        <c:crossesAt val="-10000000000"/>
        <c:crossBetween val="midCat"/>
      </c:valAx>
      <c:valAx>
        <c:axId val="202483392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202482816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'Ciclagem10 BQF10'!$B$22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'Ciclagem10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'Ciclagem10 BQF10'!$B$23:$B$58</c:f>
              <c:numCache>
                <c:formatCode>0.0000000000E+00</c:formatCode>
                <c:ptCount val="36"/>
                <c:pt idx="0">
                  <c:v>0.47373954049630107</c:v>
                </c:pt>
                <c:pt idx="1">
                  <c:v>0.67970514522024672</c:v>
                </c:pt>
                <c:pt idx="2">
                  <c:v>0.7836010870163197</c:v>
                </c:pt>
                <c:pt idx="3">
                  <c:v>0.82260127135069017</c:v>
                </c:pt>
                <c:pt idx="4">
                  <c:v>0.82058938866978959</c:v>
                </c:pt>
                <c:pt idx="5">
                  <c:v>0.79279296886090966</c:v>
                </c:pt>
                <c:pt idx="6">
                  <c:v>0.74886648720886739</c:v>
                </c:pt>
                <c:pt idx="7">
                  <c:v>0.69491272127881965</c:v>
                </c:pt>
                <c:pt idx="8">
                  <c:v>0.63478878620921919</c:v>
                </c:pt>
                <c:pt idx="9">
                  <c:v>0.57093841687424729</c:v>
                </c:pt>
                <c:pt idx="10">
                  <c:v>0.50491612114581441</c:v>
                </c:pt>
                <c:pt idx="11">
                  <c:v>0.43771464818580258</c:v>
                </c:pt>
                <c:pt idx="12">
                  <c:v>0.36996919618513791</c:v>
                </c:pt>
                <c:pt idx="13">
                  <c:v>0.3020855992864972</c:v>
                </c:pt>
                <c:pt idx="14">
                  <c:v>0.2343220933089612</c:v>
                </c:pt>
                <c:pt idx="15">
                  <c:v>0.16684269723717265</c:v>
                </c:pt>
                <c:pt idx="16">
                  <c:v>9.9752934829002785E-2</c:v>
                </c:pt>
                <c:pt idx="17">
                  <c:v>3.3124215922270668E-2</c:v>
                </c:pt>
                <c:pt idx="18">
                  <c:v>-3.2989282393377471E-2</c:v>
                </c:pt>
                <c:pt idx="19">
                  <c:v>-9.8538667824352347E-2</c:v>
                </c:pt>
                <c:pt idx="20">
                  <c:v>-0.16347134167190627</c:v>
                </c:pt>
                <c:pt idx="21">
                  <c:v>-0.22772326150742098</c:v>
                </c:pt>
                <c:pt idx="22">
                  <c:v>-0.29121092955954225</c:v>
                </c:pt>
                <c:pt idx="23">
                  <c:v>-0.35382170486196451</c:v>
                </c:pt>
                <c:pt idx="24">
                  <c:v>-0.41540094913319608</c:v>
                </c:pt>
                <c:pt idx="25">
                  <c:v>-0.47573375439691334</c:v>
                </c:pt>
                <c:pt idx="26">
                  <c:v>-0.53451670448107758</c:v>
                </c:pt>
                <c:pt idx="27">
                  <c:v>-0.59130989666461498</c:v>
                </c:pt>
                <c:pt idx="28">
                  <c:v>-0.64544919705966086</c:v>
                </c:pt>
                <c:pt idx="29">
                  <c:v>-0.69588043262684796</c:v>
                </c:pt>
                <c:pt idx="30">
                  <c:v>-0.7408468257601325</c:v>
                </c:pt>
                <c:pt idx="31">
                  <c:v>-0.77731297713459135</c:v>
                </c:pt>
                <c:pt idx="32">
                  <c:v>-0.79993597252226778</c:v>
                </c:pt>
                <c:pt idx="33">
                  <c:v>-0.79928764392028373</c:v>
                </c:pt>
                <c:pt idx="34">
                  <c:v>-0.75888027108607958</c:v>
                </c:pt>
                <c:pt idx="35">
                  <c:v>-0.65033701729568216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07648"/>
        <c:axId val="128108224"/>
      </c:scatterChart>
      <c:valAx>
        <c:axId val="12810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108224"/>
        <c:crossesAt val="-10000000000"/>
        <c:crossBetween val="midCat"/>
      </c:valAx>
      <c:valAx>
        <c:axId val="128108224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28107648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'Ciclagem10 BQF10'!$C$22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'Ciclagem10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'Ciclagem10 BQF10'!$C$23:$C$58</c:f>
              <c:numCache>
                <c:formatCode>0.0000000000E+00</c:formatCode>
                <c:ptCount val="36"/>
                <c:pt idx="0">
                  <c:v>-0.50482391164863394</c:v>
                </c:pt>
                <c:pt idx="1">
                  <c:v>-0.14060518982785364</c:v>
                </c:pt>
                <c:pt idx="2">
                  <c:v>6.4687635193931933E-2</c:v>
                </c:pt>
                <c:pt idx="3">
                  <c:v>0.17516941348148032</c:v>
                </c:pt>
                <c:pt idx="4">
                  <c:v>0.22962114338742534</c:v>
                </c:pt>
                <c:pt idx="5">
                  <c:v>0.25121170666507653</c:v>
                </c:pt>
                <c:pt idx="6">
                  <c:v>0.25362953099599883</c:v>
                </c:pt>
                <c:pt idx="7">
                  <c:v>0.24488165216702562</c:v>
                </c:pt>
                <c:pt idx="8">
                  <c:v>0.229609154783147</c:v>
                </c:pt>
                <c:pt idx="9">
                  <c:v>0.21047857075002824</c:v>
                </c:pt>
                <c:pt idx="10">
                  <c:v>0.18900872631368135</c:v>
                </c:pt>
                <c:pt idx="11">
                  <c:v>0.16605795121301564</c:v>
                </c:pt>
                <c:pt idx="12">
                  <c:v>0.14210881834301067</c:v>
                </c:pt>
                <c:pt idx="13">
                  <c:v>0.11743231647567239</c:v>
                </c:pt>
                <c:pt idx="14">
                  <c:v>9.2179818342136413E-2</c:v>
                </c:pt>
                <c:pt idx="15">
                  <c:v>6.6431576967480699E-2</c:v>
                </c:pt>
                <c:pt idx="16">
                  <c:v>4.0219295749806899E-2</c:v>
                </c:pt>
                <c:pt idx="17">
                  <c:v>1.35339237186502E-2</c:v>
                </c:pt>
                <c:pt idx="18">
                  <c:v>-1.367406045569694E-2</c:v>
                </c:pt>
                <c:pt idx="19">
                  <c:v>-4.1497310898900026E-2</c:v>
                </c:pt>
                <c:pt idx="20">
                  <c:v>-7.0074839628477062E-2</c:v>
                </c:pt>
                <c:pt idx="21">
                  <c:v>-9.9595366501149848E-2</c:v>
                </c:pt>
                <c:pt idx="22">
                  <c:v>-0.13030215119368557</c:v>
                </c:pt>
                <c:pt idx="23">
                  <c:v>-0.16250231657068936</c:v>
                </c:pt>
                <c:pt idx="24">
                  <c:v>-0.19658517006277865</c:v>
                </c:pt>
                <c:pt idx="25">
                  <c:v>-0.23305532816356617</c:v>
                </c:pt>
                <c:pt idx="26">
                  <c:v>-0.27258739445521868</c:v>
                </c:pt>
                <c:pt idx="27">
                  <c:v>-0.31610912289278331</c:v>
                </c:pt>
                <c:pt idx="28">
                  <c:v>-0.36491853516912448</c:v>
                </c:pt>
                <c:pt idx="29">
                  <c:v>-0.42083572392614638</c:v>
                </c:pt>
                <c:pt idx="30">
                  <c:v>-0.48637933539446909</c:v>
                </c:pt>
                <c:pt idx="31">
                  <c:v>-0.56493674713514375</c:v>
                </c:pt>
                <c:pt idx="32">
                  <c:v>-0.66085950698081919</c:v>
                </c:pt>
                <c:pt idx="33">
                  <c:v>-0.77935290384777467</c:v>
                </c:pt>
                <c:pt idx="34">
                  <c:v>-0.92592866732872092</c:v>
                </c:pt>
                <c:pt idx="35">
                  <c:v>-1.1050369668578739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11104"/>
        <c:axId val="128111680"/>
      </c:scatterChart>
      <c:valAx>
        <c:axId val="12811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111680"/>
        <c:crossesAt val="-10000000000"/>
        <c:crossBetween val="midCat"/>
      </c:valAx>
      <c:valAx>
        <c:axId val="128111680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28111104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'Ciclagem9 BQF10'!$B$22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'Ciclagem9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'Ciclagem9 BQF10'!$B$23:$B$58</c:f>
              <c:numCache>
                <c:formatCode>0.0000000000E+00</c:formatCode>
                <c:ptCount val="36"/>
                <c:pt idx="0">
                  <c:v>-0.2934784225599596</c:v>
                </c:pt>
                <c:pt idx="1">
                  <c:v>-0.36263764344553301</c:v>
                </c:pt>
                <c:pt idx="2">
                  <c:v>-0.39091834031487438</c:v>
                </c:pt>
                <c:pt idx="3">
                  <c:v>-0.39474053462904812</c:v>
                </c:pt>
                <c:pt idx="4">
                  <c:v>-0.38421118409030375</c:v>
                </c:pt>
                <c:pt idx="5">
                  <c:v>-0.36543457812625607</c:v>
                </c:pt>
                <c:pt idx="6">
                  <c:v>-0.34201641124252763</c:v>
                </c:pt>
                <c:pt idx="7">
                  <c:v>-0.31602759196380997</c:v>
                </c:pt>
                <c:pt idx="8">
                  <c:v>-0.28861242177656304</c:v>
                </c:pt>
                <c:pt idx="9">
                  <c:v>-0.26036677176339762</c:v>
                </c:pt>
                <c:pt idx="10">
                  <c:v>-0.23157001644408473</c:v>
                </c:pt>
                <c:pt idx="11">
                  <c:v>-0.2023254488009692</c:v>
                </c:pt>
                <c:pt idx="12">
                  <c:v>-0.17264424596208786</c:v>
                </c:pt>
                <c:pt idx="13">
                  <c:v>-0.14249507246923962</c:v>
                </c:pt>
                <c:pt idx="14">
                  <c:v>-0.11183302520009823</c:v>
                </c:pt>
                <c:pt idx="15">
                  <c:v>-8.061630569558928E-2</c:v>
                </c:pt>
                <c:pt idx="16">
                  <c:v>-4.8815660207422673E-2</c:v>
                </c:pt>
                <c:pt idx="17">
                  <c:v>-1.6419519468398324E-2</c:v>
                </c:pt>
                <c:pt idx="18">
                  <c:v>1.6563562397311896E-2</c:v>
                </c:pt>
                <c:pt idx="19">
                  <c:v>5.0104389796532235E-2</c:v>
                </c:pt>
                <c:pt idx="20">
                  <c:v>8.4154187702159364E-2</c:v>
                </c:pt>
                <c:pt idx="21">
                  <c:v>0.11864702940234506</c:v>
                </c:pt>
                <c:pt idx="22">
                  <c:v>0.15350328733450425</c:v>
                </c:pt>
                <c:pt idx="23">
                  <c:v>0.18863348267206761</c:v>
                </c:pt>
                <c:pt idx="24">
                  <c:v>0.22394166314416961</c:v>
                </c:pt>
                <c:pt idx="25">
                  <c:v>0.25932754400518776</c:v>
                </c:pt>
                <c:pt idx="26">
                  <c:v>0.29468758053211097</c:v>
                </c:pt>
                <c:pt idx="27">
                  <c:v>0.32991756572520292</c:v>
                </c:pt>
                <c:pt idx="28">
                  <c:v>0.3649241363208186</c:v>
                </c:pt>
                <c:pt idx="29">
                  <c:v>0.39966081960988276</c:v>
                </c:pt>
                <c:pt idx="30">
                  <c:v>0.43421729120475894</c:v>
                </c:pt>
                <c:pt idx="31">
                  <c:v>0.46900990355754896</c:v>
                </c:pt>
                <c:pt idx="32">
                  <c:v>0.5051490827729469</c:v>
                </c:pt>
                <c:pt idx="33">
                  <c:v>0.54509689631159242</c:v>
                </c:pt>
                <c:pt idx="34">
                  <c:v>0.59377819373834451</c:v>
                </c:pt>
                <c:pt idx="35">
                  <c:v>0.66037363063600996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73408"/>
        <c:axId val="99270656"/>
      </c:scatterChart>
      <c:valAx>
        <c:axId val="16607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270656"/>
        <c:crossesAt val="-10000000000"/>
        <c:crossBetween val="midCat"/>
      </c:valAx>
      <c:valAx>
        <c:axId val="99270656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66073408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'Ciclagem9 BQF10'!$C$22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'Ciclagem9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'Ciclagem9 BQF10'!$C$23:$C$58</c:f>
              <c:numCache>
                <c:formatCode>0.0000000000E+00</c:formatCode>
                <c:ptCount val="36"/>
                <c:pt idx="0">
                  <c:v>5.2558279677606401E-2</c:v>
                </c:pt>
                <c:pt idx="1">
                  <c:v>3.4824487774633137E-2</c:v>
                </c:pt>
                <c:pt idx="2">
                  <c:v>2.1139267280060454E-2</c:v>
                </c:pt>
                <c:pt idx="3">
                  <c:v>1.1387590992586434E-2</c:v>
                </c:pt>
                <c:pt idx="4">
                  <c:v>4.8105346671965679E-3</c:v>
                </c:pt>
                <c:pt idx="5">
                  <c:v>5.8270656722860046E-4</c:v>
                </c:pt>
                <c:pt idx="6">
                  <c:v>-1.9758569330242462E-3</c:v>
                </c:pt>
                <c:pt idx="7">
                  <c:v>-3.3631398928399953E-3</c:v>
                </c:pt>
                <c:pt idx="8">
                  <c:v>-3.9276501395586836E-3</c:v>
                </c:pt>
                <c:pt idx="9">
                  <c:v>-3.9162104721755927E-3</c:v>
                </c:pt>
                <c:pt idx="10">
                  <c:v>-3.5141380652518694E-3</c:v>
                </c:pt>
                <c:pt idx="11">
                  <c:v>-2.8714760029488755E-3</c:v>
                </c:pt>
                <c:pt idx="12">
                  <c:v>-2.1165908477940917E-3</c:v>
                </c:pt>
                <c:pt idx="13">
                  <c:v>-1.3609867399935519E-3</c:v>
                </c:pt>
                <c:pt idx="14">
                  <c:v>-6.9915381165872633E-4</c:v>
                </c:pt>
                <c:pt idx="15">
                  <c:v>-2.0625015684120579E-4</c:v>
                </c:pt>
                <c:pt idx="16">
                  <c:v>6.4707449276906086E-5</c:v>
                </c:pt>
                <c:pt idx="17">
                  <c:v>8.5301868678906519E-5</c:v>
                </c:pt>
                <c:pt idx="18">
                  <c:v>-1.4657146496398535E-4</c:v>
                </c:pt>
                <c:pt idx="19">
                  <c:v>-6.0600370538075828E-4</c:v>
                </c:pt>
                <c:pt idx="20">
                  <c:v>-1.2417237331592995E-3</c:v>
                </c:pt>
                <c:pt idx="21">
                  <c:v>-1.9786090112937573E-3</c:v>
                </c:pt>
                <c:pt idx="22">
                  <c:v>-2.7227621530787104E-3</c:v>
                </c:pt>
                <c:pt idx="23">
                  <c:v>-3.3700564646657921E-3</c:v>
                </c:pt>
                <c:pt idx="24">
                  <c:v>-3.8192042617308563E-3</c:v>
                </c:pt>
                <c:pt idx="25">
                  <c:v>-3.9903602410173242E-3</c:v>
                </c:pt>
                <c:pt idx="26">
                  <c:v>-3.8496703483172131E-3</c:v>
                </c:pt>
                <c:pt idx="27">
                  <c:v>-3.4382617955298193E-3</c:v>
                </c:pt>
                <c:pt idx="28">
                  <c:v>-2.8996056391428671E-3</c:v>
                </c:pt>
                <c:pt idx="29">
                  <c:v>-2.4898116774209359E-3</c:v>
                </c:pt>
                <c:pt idx="30">
                  <c:v>-2.5379812580601864E-3</c:v>
                </c:pt>
                <c:pt idx="31">
                  <c:v>-3.2935809321908999E-3</c:v>
                </c:pt>
                <c:pt idx="32">
                  <c:v>-4.5484800471298501E-3</c:v>
                </c:pt>
                <c:pt idx="33">
                  <c:v>-4.8442370101133237E-3</c:v>
                </c:pt>
                <c:pt idx="34">
                  <c:v>4.073987833525999E-5</c:v>
                </c:pt>
                <c:pt idx="35">
                  <c:v>1.9798599091144137E-2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72960"/>
        <c:axId val="99273536"/>
      </c:scatterChart>
      <c:valAx>
        <c:axId val="9927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273536"/>
        <c:crossesAt val="-10000000000"/>
        <c:crossBetween val="midCat"/>
      </c:valAx>
      <c:valAx>
        <c:axId val="99273536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99272960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'Ciclagem8 BQF10 (4)'!$B$22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'Ciclagem8 BQF10 (4)'!$A$23:$A$58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'Ciclagem8 BQF10 (4)'!$B$23:$B$58</c:f>
              <c:numCache>
                <c:formatCode>0.0000000000E+00</c:formatCode>
                <c:ptCount val="36"/>
                <c:pt idx="0">
                  <c:v>-0.98139036783662237</c:v>
                </c:pt>
                <c:pt idx="1">
                  <c:v>-0.88028278174985342</c:v>
                </c:pt>
                <c:pt idx="2">
                  <c:v>-0.79414959831104692</c:v>
                </c:pt>
                <c:pt idx="3">
                  <c:v>-0.72002060451269712</c:v>
                </c:pt>
                <c:pt idx="4">
                  <c:v>-0.65481185354833937</c:v>
                </c:pt>
                <c:pt idx="5">
                  <c:v>-0.59587998920093244</c:v>
                </c:pt>
                <c:pt idx="6">
                  <c:v>-0.54119320881446642</c:v>
                </c:pt>
                <c:pt idx="7">
                  <c:v>-0.48930716481339132</c:v>
                </c:pt>
                <c:pt idx="8">
                  <c:v>-0.4392591022591677</c:v>
                </c:pt>
                <c:pt idx="9">
                  <c:v>-0.39044336620134795</c:v>
                </c:pt>
                <c:pt idx="10">
                  <c:v>-0.34249932472973255</c:v>
                </c:pt>
                <c:pt idx="11">
                  <c:v>-0.29522343440865356</c:v>
                </c:pt>
                <c:pt idx="12">
                  <c:v>-0.24850654584774665</c:v>
                </c:pt>
                <c:pt idx="13">
                  <c:v>-0.20229255233608767</c:v>
                </c:pt>
                <c:pt idx="14">
                  <c:v>-0.15655290273999514</c:v>
                </c:pt>
                <c:pt idx="15">
                  <c:v>-0.11127177839201099</c:v>
                </c:pt>
                <c:pt idx="16">
                  <c:v>-6.6437840609784513E-2</c:v>
                </c:pt>
                <c:pt idx="17">
                  <c:v>-2.2039752588191422E-2</c:v>
                </c:pt>
                <c:pt idx="18">
                  <c:v>2.1936185227372139E-2</c:v>
                </c:pt>
                <c:pt idx="19">
                  <c:v>6.550712677632077E-2</c:v>
                </c:pt>
                <c:pt idx="20">
                  <c:v>0.1086938562581713</c:v>
                </c:pt>
                <c:pt idx="21">
                  <c:v>0.15152019829917446</c:v>
                </c:pt>
                <c:pt idx="22">
                  <c:v>0.19401176496647321</c:v>
                </c:pt>
                <c:pt idx="23">
                  <c:v>0.23619409069557845</c:v>
                </c:pt>
                <c:pt idx="24">
                  <c:v>0.27808992791151332</c:v>
                </c:pt>
                <c:pt idx="25">
                  <c:v>0.31971465741412325</c:v>
                </c:pt>
                <c:pt idx="26">
                  <c:v>0.36106695241928266</c:v>
                </c:pt>
                <c:pt idx="27">
                  <c:v>0.40210835357887814</c:v>
                </c:pt>
                <c:pt idx="28">
                  <c:v>0.44271928920812686</c:v>
                </c:pt>
                <c:pt idx="29">
                  <c:v>0.48260891876596801</c:v>
                </c:pt>
                <c:pt idx="30">
                  <c:v>0.52114004928275892</c:v>
                </c:pt>
                <c:pt idx="31">
                  <c:v>0.55700563634670308</c:v>
                </c:pt>
                <c:pt idx="32">
                  <c:v>0.5876565265598036</c:v>
                </c:pt>
                <c:pt idx="33">
                  <c:v>0.60832656012803654</c:v>
                </c:pt>
                <c:pt idx="34">
                  <c:v>0.61042509289679192</c:v>
                </c:pt>
                <c:pt idx="35">
                  <c:v>0.57896107801572094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47360"/>
        <c:axId val="146847936"/>
      </c:scatterChart>
      <c:valAx>
        <c:axId val="14684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847936"/>
        <c:crossesAt val="-10000000000"/>
        <c:crossBetween val="midCat"/>
      </c:valAx>
      <c:valAx>
        <c:axId val="146847936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46847360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'Ciclagem8 BQF10 (4)'!$C$22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'Ciclagem8 BQF10 (4)'!$A$23:$A$58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'Ciclagem8 BQF10 (4)'!$C$23:$C$58</c:f>
              <c:numCache>
                <c:formatCode>0.0000000000E+00</c:formatCode>
                <c:ptCount val="36"/>
                <c:pt idx="0">
                  <c:v>-0.11411402506110047</c:v>
                </c:pt>
                <c:pt idx="1">
                  <c:v>-8.9506697384238054E-2</c:v>
                </c:pt>
                <c:pt idx="2">
                  <c:v>-7.094797128009353E-2</c:v>
                </c:pt>
                <c:pt idx="3">
                  <c:v>-5.7001336419454873E-2</c:v>
                </c:pt>
                <c:pt idx="4">
                  <c:v>-4.6583044816450259E-2</c:v>
                </c:pt>
                <c:pt idx="5">
                  <c:v>-3.8835828736656641E-2</c:v>
                </c:pt>
                <c:pt idx="6">
                  <c:v>-3.3068344301177707E-2</c:v>
                </c:pt>
                <c:pt idx="7">
                  <c:v>-2.8724192623201396E-2</c:v>
                </c:pt>
                <c:pt idx="8">
                  <c:v>-2.536164235356821E-2</c:v>
                </c:pt>
                <c:pt idx="9">
                  <c:v>-2.2635815983109348E-2</c:v>
                </c:pt>
                <c:pt idx="10">
                  <c:v>-2.0281050952228239E-2</c:v>
                </c:pt>
                <c:pt idx="11">
                  <c:v>-1.809394534821707E-2</c:v>
                </c:pt>
                <c:pt idx="12">
                  <c:v>-1.5918434040051759E-2</c:v>
                </c:pt>
                <c:pt idx="13">
                  <c:v>-1.3633998053195378E-2</c:v>
                </c:pt>
                <c:pt idx="14">
                  <c:v>-1.1147413511890952E-2</c:v>
                </c:pt>
                <c:pt idx="15">
                  <c:v>-8.3877075141279393E-3</c:v>
                </c:pt>
                <c:pt idx="16">
                  <c:v>-5.3034433508060887E-3</c:v>
                </c:pt>
                <c:pt idx="17">
                  <c:v>-1.8612060857825154E-3</c:v>
                </c:pt>
                <c:pt idx="18">
                  <c:v>1.9558010233285614E-3</c:v>
                </c:pt>
                <c:pt idx="19">
                  <c:v>6.1498815239270496E-3</c:v>
                </c:pt>
                <c:pt idx="20">
                  <c:v>1.0712163726578272E-2</c:v>
                </c:pt>
                <c:pt idx="21">
                  <c:v>1.5627248309793219E-2</c:v>
                </c:pt>
                <c:pt idx="22">
                  <c:v>2.0879134118033608E-2</c:v>
                </c:pt>
                <c:pt idx="23">
                  <c:v>2.6458420956888381E-2</c:v>
                </c:pt>
                <c:pt idx="24">
                  <c:v>3.2371121504130157E-2</c:v>
                </c:pt>
                <c:pt idx="25">
                  <c:v>3.8650013395728711E-2</c:v>
                </c:pt>
                <c:pt idx="26">
                  <c:v>4.5370235328645231E-2</c:v>
                </c:pt>
                <c:pt idx="27">
                  <c:v>5.2671602056808466E-2</c:v>
                </c:pt>
                <c:pt idx="28">
                  <c:v>6.0790616393622265E-2</c:v>
                </c:pt>
                <c:pt idx="29">
                  <c:v>7.0105031418030705E-2</c:v>
                </c:pt>
                <c:pt idx="30">
                  <c:v>8.1192607306781558E-2</c:v>
                </c:pt>
                <c:pt idx="31">
                  <c:v>9.4902865290486846E-2</c:v>
                </c:pt>
                <c:pt idx="32">
                  <c:v>0.11243552784064718</c:v>
                </c:pt>
                <c:pt idx="33">
                  <c:v>0.1354112293720805</c:v>
                </c:pt>
                <c:pt idx="34">
                  <c:v>0.16590819404537743</c:v>
                </c:pt>
                <c:pt idx="35">
                  <c:v>0.20642205673301703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08288"/>
        <c:axId val="165890304"/>
      </c:scatterChart>
      <c:valAx>
        <c:axId val="14690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5890304"/>
        <c:crossesAt val="-10000000000"/>
        <c:crossBetween val="midCat"/>
      </c:valAx>
      <c:valAx>
        <c:axId val="165890304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46908288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'Ciclagem8 BQF10 (3)'!$B$22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'Ciclagem8 BQF10 (3)'!$A$23:$A$58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'Ciclagem8 BQF10 (3)'!$B$23:$B$58</c:f>
              <c:numCache>
                <c:formatCode>0.0000000000E+00</c:formatCode>
                <c:ptCount val="36"/>
                <c:pt idx="0">
                  <c:v>-1.2694421664628364</c:v>
                </c:pt>
                <c:pt idx="1">
                  <c:v>-1.1521447011307759</c:v>
                </c:pt>
                <c:pt idx="2">
                  <c:v>-1.0576838751510529</c:v>
                </c:pt>
                <c:pt idx="3">
                  <c:v>-0.97553267336437288</c:v>
                </c:pt>
                <c:pt idx="4">
                  <c:v>-0.89987963015756167</c:v>
                </c:pt>
                <c:pt idx="5">
                  <c:v>-0.82764900456719792</c:v>
                </c:pt>
                <c:pt idx="6">
                  <c:v>-0.75728685411295726</c:v>
                </c:pt>
                <c:pt idx="7">
                  <c:v>-0.68804650968830139</c:v>
                </c:pt>
                <c:pt idx="8">
                  <c:v>-0.61958807611140887</c:v>
                </c:pt>
                <c:pt idx="9">
                  <c:v>-0.55176677662664475</c:v>
                </c:pt>
                <c:pt idx="10">
                  <c:v>-0.48452862653231366</c:v>
                </c:pt>
                <c:pt idx="11">
                  <c:v>-0.41786274393978612</c:v>
                </c:pt>
                <c:pt idx="12">
                  <c:v>-0.35178063431906181</c:v>
                </c:pt>
                <c:pt idx="13">
                  <c:v>-0.28630651630034243</c:v>
                </c:pt>
                <c:pt idx="14">
                  <c:v>-0.22147120449363331</c:v>
                </c:pt>
                <c:pt idx="15">
                  <c:v>-0.15730683080945049</c:v>
                </c:pt>
                <c:pt idx="16">
                  <c:v>-9.3842012335004887E-2</c:v>
                </c:pt>
                <c:pt idx="17">
                  <c:v>-3.1097900133618239E-2</c:v>
                </c:pt>
                <c:pt idx="18">
                  <c:v>3.0914451082247867E-2</c:v>
                </c:pt>
                <c:pt idx="19">
                  <c:v>9.2195309108956777E-2</c:v>
                </c:pt>
                <c:pt idx="20">
                  <c:v>0.15275645288218456</c:v>
                </c:pt>
                <c:pt idx="21">
                  <c:v>0.21262112936000971</c:v>
                </c:pt>
                <c:pt idx="22">
                  <c:v>0.27182505574596272</c:v>
                </c:pt>
                <c:pt idx="23">
                  <c:v>0.33042042663634885</c:v>
                </c:pt>
                <c:pt idx="24">
                  <c:v>0.38848609027823766</c:v>
                </c:pt>
                <c:pt idx="25">
                  <c:v>0.44614923031664266</c:v>
                </c:pt>
                <c:pt idx="26">
                  <c:v>0.50362761875522599</c:v>
                </c:pt>
                <c:pt idx="27">
                  <c:v>0.56130754234026314</c:v>
                </c:pt>
                <c:pt idx="28">
                  <c:v>0.61988178178853093</c:v>
                </c:pt>
                <c:pt idx="29">
                  <c:v>0.68058568841441014</c:v>
                </c:pt>
                <c:pt idx="30">
                  <c:v>0.74558885342649428</c:v>
                </c:pt>
                <c:pt idx="31">
                  <c:v>0.81862679325532084</c:v>
                </c:pt>
                <c:pt idx="32">
                  <c:v>0.9059935161916649</c:v>
                </c:pt>
                <c:pt idx="33">
                  <c:v>1.0180642298126699</c:v>
                </c:pt>
                <c:pt idx="34">
                  <c:v>1.1715806997915974</c:v>
                </c:pt>
                <c:pt idx="35">
                  <c:v>1.3930133205714217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04096"/>
        <c:axId val="146804672"/>
      </c:scatterChart>
      <c:valAx>
        <c:axId val="14680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804672"/>
        <c:crossesAt val="-10000000000"/>
        <c:crossBetween val="midCat"/>
      </c:valAx>
      <c:valAx>
        <c:axId val="146804672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46804096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'Ciclagem8 BQF10 (3)'!$C$22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'Ciclagem8 BQF10 (3)'!$A$23:$A$58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'Ciclagem8 BQF10 (3)'!$C$23:$C$58</c:f>
              <c:numCache>
                <c:formatCode>0.0000000000E+00</c:formatCode>
                <c:ptCount val="36"/>
                <c:pt idx="0">
                  <c:v>-0.36417232279451367</c:v>
                </c:pt>
                <c:pt idx="1">
                  <c:v>-0.20018084536621639</c:v>
                </c:pt>
                <c:pt idx="2">
                  <c:v>-0.10354807108011808</c:v>
                </c:pt>
                <c:pt idx="3">
                  <c:v>-4.8216759850719951E-2</c:v>
                </c:pt>
                <c:pt idx="4">
                  <c:v>-1.7802402296267488E-2</c:v>
                </c:pt>
                <c:pt idx="5">
                  <c:v>-2.1517074811578272E-3</c:v>
                </c:pt>
                <c:pt idx="6">
                  <c:v>4.9419544452168245E-3</c:v>
                </c:pt>
                <c:pt idx="7">
                  <c:v>7.2275968462581107E-3</c:v>
                </c:pt>
                <c:pt idx="8">
                  <c:v>6.9482882470126E-3</c:v>
                </c:pt>
                <c:pt idx="9">
                  <c:v>5.4369518138448585E-3</c:v>
                </c:pt>
                <c:pt idx="10">
                  <c:v>3.4816908151505555E-3</c:v>
                </c:pt>
                <c:pt idx="11">
                  <c:v>1.5455570535409212E-3</c:v>
                </c:pt>
                <c:pt idx="12">
                  <c:v>-1.0307026452410496E-4</c:v>
                </c:pt>
                <c:pt idx="13">
                  <c:v>-1.3133803757281307E-3</c:v>
                </c:pt>
                <c:pt idx="14">
                  <c:v>-2.0058751731054768E-3</c:v>
                </c:pt>
                <c:pt idx="15">
                  <c:v>-2.1436269422217022E-3</c:v>
                </c:pt>
                <c:pt idx="16">
                  <c:v>-1.7135302507673273E-3</c:v>
                </c:pt>
                <c:pt idx="17">
                  <c:v>-7.1354545303510737E-4</c:v>
                </c:pt>
                <c:pt idx="18">
                  <c:v>8.5613094178730307E-4</c:v>
                </c:pt>
                <c:pt idx="19">
                  <c:v>2.9991443101284134E-3</c:v>
                </c:pt>
                <c:pt idx="20">
                  <c:v>5.7272485143108048E-3</c:v>
                </c:pt>
                <c:pt idx="21">
                  <c:v>9.0638280416631117E-3</c:v>
                </c:pt>
                <c:pt idx="22">
                  <c:v>1.3048022185441694E-2</c:v>
                </c:pt>
                <c:pt idx="23">
                  <c:v>1.7741102342300169E-2</c:v>
                </c:pt>
                <c:pt idx="24">
                  <c:v>2.3237052376686974E-2</c:v>
                </c:pt>
                <c:pt idx="25">
                  <c:v>2.967969348508006E-2</c:v>
                </c:pt>
                <c:pt idx="26">
                  <c:v>3.728945542042341E-2</c:v>
                </c:pt>
                <c:pt idx="27">
                  <c:v>4.6404545515668805E-2</c:v>
                </c:pt>
                <c:pt idx="28">
                  <c:v>5.7544652427350254E-2</c:v>
                </c:pt>
                <c:pt idx="29">
                  <c:v>7.151171572744211E-2</c:v>
                </c:pt>
                <c:pt idx="30">
                  <c:v>8.9553510663802585E-2</c:v>
                </c:pt>
                <c:pt idx="31">
                  <c:v>0.1136343304965784</c:v>
                </c:pt>
                <c:pt idx="32">
                  <c:v>0.14688621341947766</c:v>
                </c:pt>
                <c:pt idx="33">
                  <c:v>0.19435826642272352</c:v>
                </c:pt>
                <c:pt idx="34">
                  <c:v>0.2642461701415153</c:v>
                </c:pt>
                <c:pt idx="35">
                  <c:v>0.36987576930694405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06976"/>
        <c:axId val="146807552"/>
      </c:scatterChart>
      <c:valAx>
        <c:axId val="14680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807552"/>
        <c:crossesAt val="-10000000000"/>
        <c:crossBetween val="midCat"/>
      </c:valAx>
      <c:valAx>
        <c:axId val="146807552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46806976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'Ciclagem8 BQF10 (2)'!$B$22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'Ciclagem8 BQF10 (2)'!$A$23:$A$58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'Ciclagem8 BQF10 (2)'!$B$23:$B$58</c:f>
              <c:numCache>
                <c:formatCode>0.0000000000E+00</c:formatCode>
                <c:ptCount val="36"/>
                <c:pt idx="0">
                  <c:v>-6.0209439224925854</c:v>
                </c:pt>
                <c:pt idx="1">
                  <c:v>-6.125254947948501</c:v>
                </c:pt>
                <c:pt idx="2">
                  <c:v>-5.9737003493869683</c:v>
                </c:pt>
                <c:pt idx="3">
                  <c:v>-5.6879591833051037</c:v>
                </c:pt>
                <c:pt idx="4">
                  <c:v>-5.3350393993391716</c:v>
                </c:pt>
                <c:pt idx="5">
                  <c:v>-4.9505901089823707</c:v>
                </c:pt>
                <c:pt idx="6">
                  <c:v>-4.5528191218882412</c:v>
                </c:pt>
                <c:pt idx="7">
                  <c:v>-4.1505669315336124</c:v>
                </c:pt>
                <c:pt idx="8">
                  <c:v>-3.7478441518683177</c:v>
                </c:pt>
                <c:pt idx="9">
                  <c:v>-3.346291449650848</c:v>
                </c:pt>
                <c:pt idx="10">
                  <c:v>-2.9464584930093181</c:v>
                </c:pt>
                <c:pt idx="11">
                  <c:v>-2.5484361401214746</c:v>
                </c:pt>
                <c:pt idx="12">
                  <c:v>-2.1521500527808879</c:v>
                </c:pt>
                <c:pt idx="13">
                  <c:v>-1.7574874643797498</c:v>
                </c:pt>
                <c:pt idx="14">
                  <c:v>-1.3643490553821249</c:v>
                </c:pt>
                <c:pt idx="15">
                  <c:v>-0.97267253828966249</c:v>
                </c:pt>
                <c:pt idx="16">
                  <c:v>-0.58244932097706648</c:v>
                </c:pt>
                <c:pt idx="17">
                  <c:v>-0.19374184590110263</c:v>
                </c:pt>
                <c:pt idx="18">
                  <c:v>0.19329799555732177</c:v>
                </c:pt>
                <c:pt idx="19">
                  <c:v>0.57841219314756676</c:v>
                </c:pt>
                <c:pt idx="20">
                  <c:v>0.96122511136930855</c:v>
                </c:pt>
                <c:pt idx="21">
                  <c:v>1.3412393237908538</c:v>
                </c:pt>
                <c:pt idx="22">
                  <c:v>1.7178383156175536</c:v>
                </c:pt>
                <c:pt idx="23">
                  <c:v>2.0902914441741163</c:v>
                </c:pt>
                <c:pt idx="24">
                  <c:v>2.4577497425130956</c:v>
                </c:pt>
                <c:pt idx="25">
                  <c:v>2.8192084109548801</c:v>
                </c:pt>
                <c:pt idx="26">
                  <c:v>3.1733863997870002</c:v>
                </c:pt>
                <c:pt idx="27">
                  <c:v>3.5184232668320328</c:v>
                </c:pt>
                <c:pt idx="28">
                  <c:v>3.8511988810319946</c:v>
                </c:pt>
                <c:pt idx="29">
                  <c:v>4.1659127463380807</c:v>
                </c:pt>
                <c:pt idx="30">
                  <c:v>4.4512737227644301</c:v>
                </c:pt>
                <c:pt idx="31">
                  <c:v>4.6851880222613413</c:v>
                </c:pt>
                <c:pt idx="32">
                  <c:v>4.8251132990006962</c:v>
                </c:pt>
                <c:pt idx="33">
                  <c:v>4.7911643417752456</c:v>
                </c:pt>
                <c:pt idx="34">
                  <c:v>4.4374766845965752</c:v>
                </c:pt>
                <c:pt idx="35">
                  <c:v>3.505089119321406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22272"/>
        <c:axId val="137022848"/>
      </c:scatterChart>
      <c:valAx>
        <c:axId val="137022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022848"/>
        <c:crossesAt val="-10000000000"/>
        <c:crossBetween val="midCat"/>
      </c:valAx>
      <c:valAx>
        <c:axId val="137022848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37022272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'Ciclagem8 BQF10 (2)'!$C$22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'Ciclagem8 BQF10 (2)'!$A$23:$A$58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'Ciclagem8 BQF10 (2)'!$C$23:$C$58</c:f>
              <c:numCache>
                <c:formatCode>0.0000000000E+00</c:formatCode>
                <c:ptCount val="36"/>
                <c:pt idx="0">
                  <c:v>-2.6552242355696367</c:v>
                </c:pt>
                <c:pt idx="1">
                  <c:v>-1.7144480941263218</c:v>
                </c:pt>
                <c:pt idx="2">
                  <c:v>-1.1053119538181677</c:v>
                </c:pt>
                <c:pt idx="3">
                  <c:v>-0.71627032724487583</c:v>
                </c:pt>
                <c:pt idx="4">
                  <c:v>-0.47097947655060668</c:v>
                </c:pt>
                <c:pt idx="5">
                  <c:v>-0.31806891716825214</c:v>
                </c:pt>
                <c:pt idx="6">
                  <c:v>-0.22353534481103093</c:v>
                </c:pt>
                <c:pt idx="7">
                  <c:v>-0.16521868059079461</c:v>
                </c:pt>
                <c:pt idx="8">
                  <c:v>-0.12888325238650714</c:v>
                </c:pt>
                <c:pt idx="9">
                  <c:v>-0.10550162785345231</c:v>
                </c:pt>
                <c:pt idx="10">
                  <c:v>-8.9414615597781799E-2</c:v>
                </c:pt>
                <c:pt idx="11">
                  <c:v>-7.7112075462089438E-2</c:v>
                </c:pt>
                <c:pt idx="12">
                  <c:v>-6.6441661348869918E-2</c:v>
                </c:pt>
                <c:pt idx="13">
                  <c:v>-5.6104706071798176E-2</c:v>
                </c:pt>
                <c:pt idx="14">
                  <c:v>-4.5339868654892611E-2</c:v>
                </c:pt>
                <c:pt idx="15">
                  <c:v>-3.372663197877445E-2</c:v>
                </c:pt>
                <c:pt idx="16">
                  <c:v>-2.1063609032584925E-2</c:v>
                </c:pt>
                <c:pt idx="17">
                  <c:v>-7.2925241213311672E-3</c:v>
                </c:pt>
                <c:pt idx="18">
                  <c:v>7.5506519362356812E-3</c:v>
                </c:pt>
                <c:pt idx="19">
                  <c:v>2.3369104322725313E-2</c:v>
                </c:pt>
                <c:pt idx="20">
                  <c:v>4.0030520486792787E-2</c:v>
                </c:pt>
                <c:pt idx="21">
                  <c:v>5.7389124097688218E-2</c:v>
                </c:pt>
                <c:pt idx="22">
                  <c:v>7.530747992033876E-2</c:v>
                </c:pt>
                <c:pt idx="23">
                  <c:v>9.3680077590166916E-2</c:v>
                </c:pt>
                <c:pt idx="24">
                  <c:v>0.11245984159692086</c:v>
                </c:pt>
                <c:pt idx="25">
                  <c:v>0.13168751205135529</c:v>
                </c:pt>
                <c:pt idx="26">
                  <c:v>0.15152125314896941</c:v>
                </c:pt>
                <c:pt idx="27">
                  <c:v>0.17225797453072716</c:v>
                </c:pt>
                <c:pt idx="28">
                  <c:v>0.19432549989056927</c:v>
                </c:pt>
                <c:pt idx="29">
                  <c:v>0.21820088686372888</c:v>
                </c:pt>
                <c:pt idx="30">
                  <c:v>0.24416750795318029</c:v>
                </c:pt>
                <c:pt idx="31">
                  <c:v>0.27175152681769849</c:v>
                </c:pt>
                <c:pt idx="32">
                  <c:v>0.298562979602151</c:v>
                </c:pt>
                <c:pt idx="33">
                  <c:v>0.31808909045794548</c:v>
                </c:pt>
                <c:pt idx="34">
                  <c:v>0.31572361127687509</c:v>
                </c:pt>
                <c:pt idx="35">
                  <c:v>0.26193545221031661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25152"/>
        <c:axId val="137025728"/>
      </c:scatterChart>
      <c:valAx>
        <c:axId val="13702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025728"/>
        <c:crossesAt val="-10000000000"/>
        <c:crossBetween val="midCat"/>
      </c:valAx>
      <c:valAx>
        <c:axId val="137025728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37025152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'Ciclagem8 BQF10'!$B$22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'Ciclagem8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'Ciclagem8 BQF10'!$B$23:$B$58</c:f>
              <c:numCache>
                <c:formatCode>0.0000000000E+00</c:formatCode>
                <c:ptCount val="36"/>
                <c:pt idx="0">
                  <c:v>-0.60837431686022592</c:v>
                </c:pt>
                <c:pt idx="1">
                  <c:v>-0.78503436005731753</c:v>
                </c:pt>
                <c:pt idx="2">
                  <c:v>-0.8580145914581857</c:v>
                </c:pt>
                <c:pt idx="3">
                  <c:v>-0.87084530708979258</c:v>
                </c:pt>
                <c:pt idx="4">
                  <c:v>-0.84909059009863896</c:v>
                </c:pt>
                <c:pt idx="5">
                  <c:v>-0.80757711505105467</c:v>
                </c:pt>
                <c:pt idx="6">
                  <c:v>-0.75482720768987599</c:v>
                </c:pt>
                <c:pt idx="7">
                  <c:v>-0.69571456638101459</c:v>
                </c:pt>
                <c:pt idx="8">
                  <c:v>-0.63302068690744229</c:v>
                </c:pt>
                <c:pt idx="9">
                  <c:v>-0.56833056343934141</c:v>
                </c:pt>
                <c:pt idx="10">
                  <c:v>-0.50254234168489031</c:v>
                </c:pt>
                <c:pt idx="11">
                  <c:v>-0.43615696528741088</c:v>
                </c:pt>
                <c:pt idx="12">
                  <c:v>-0.36944449691548314</c:v>
                </c:pt>
                <c:pt idx="13">
                  <c:v>-0.30254140661704565</c:v>
                </c:pt>
                <c:pt idx="14">
                  <c:v>-0.23550848623512097</c:v>
                </c:pt>
                <c:pt idx="15">
                  <c:v>-0.16836549875721871</c:v>
                </c:pt>
                <c:pt idx="16">
                  <c:v>-0.10111158248551894</c:v>
                </c:pt>
                <c:pt idx="17">
                  <c:v>-3.3736779778521395E-2</c:v>
                </c:pt>
                <c:pt idx="18">
                  <c:v>3.377197147450723E-2</c:v>
                </c:pt>
                <c:pt idx="19">
                  <c:v>0.10142842755465795</c:v>
                </c:pt>
                <c:pt idx="20">
                  <c:v>0.16924740601086691</c:v>
                </c:pt>
                <c:pt idx="21">
                  <c:v>0.23724817292816899</c:v>
                </c:pt>
                <c:pt idx="22">
                  <c:v>0.30546206716399243</c:v>
                </c:pt>
                <c:pt idx="23">
                  <c:v>0.37394657878530019</c:v>
                </c:pt>
                <c:pt idx="24">
                  <c:v>0.44280939842429379</c:v>
                </c:pt>
                <c:pt idx="25">
                  <c:v>0.51224805860504519</c:v>
                </c:pt>
                <c:pt idx="26">
                  <c:v>0.58261444720429156</c:v>
                </c:pt>
                <c:pt idx="27">
                  <c:v>0.654519643604207</c:v>
                </c:pt>
                <c:pt idx="28">
                  <c:v>0.72900428680877705</c:v>
                </c:pt>
                <c:pt idx="29">
                  <c:v>0.80781409483137767</c:v>
                </c:pt>
                <c:pt idx="30">
                  <c:v>0.89384008192130415</c:v>
                </c:pt>
                <c:pt idx="31">
                  <c:v>0.99180890190616267</c:v>
                </c:pt>
                <c:pt idx="32">
                  <c:v>1.1093403105492479</c:v>
                </c:pt>
                <c:pt idx="33">
                  <c:v>1.2585246784677899</c:v>
                </c:pt>
                <c:pt idx="34">
                  <c:v>1.458211075488921</c:v>
                </c:pt>
                <c:pt idx="35">
                  <c:v>1.7372311239364124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75136"/>
        <c:axId val="166075712"/>
      </c:scatterChart>
      <c:valAx>
        <c:axId val="16607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6075712"/>
        <c:crossesAt val="-10000000000"/>
        <c:crossBetween val="midCat"/>
      </c:valAx>
      <c:valAx>
        <c:axId val="166075712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66075136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'Ciclagem8 BQF10'!$C$22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'Ciclagem8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'Ciclagem8 BQF10'!$C$23:$C$58</c:f>
              <c:numCache>
                <c:formatCode>0.0000000000E+00</c:formatCode>
                <c:ptCount val="36"/>
                <c:pt idx="0">
                  <c:v>6.456444593055187E-2</c:v>
                </c:pt>
                <c:pt idx="1">
                  <c:v>0.12722557114109376</c:v>
                </c:pt>
                <c:pt idx="2">
                  <c:v>0.14356674377687861</c:v>
                </c:pt>
                <c:pt idx="3">
                  <c:v>0.13766899784096429</c:v>
                </c:pt>
                <c:pt idx="4">
                  <c:v>0.12225690860851043</c:v>
                </c:pt>
                <c:pt idx="5">
                  <c:v>0.10380063038009116</c:v>
                </c:pt>
                <c:pt idx="6">
                  <c:v>8.5440326488343057E-2</c:v>
                </c:pt>
                <c:pt idx="7">
                  <c:v>6.8599657804709474E-2</c:v>
                </c:pt>
                <c:pt idx="8">
                  <c:v>5.3841157298223134E-2</c:v>
                </c:pt>
                <c:pt idx="9">
                  <c:v>4.1302662383443121E-2</c:v>
                </c:pt>
                <c:pt idx="10">
                  <c:v>3.0913532900675909E-2</c:v>
                </c:pt>
                <c:pt idx="11">
                  <c:v>2.2500905805067559E-2</c:v>
                </c:pt>
                <c:pt idx="12">
                  <c:v>1.584335836891489E-2</c:v>
                </c:pt>
                <c:pt idx="13">
                  <c:v>1.0699790827945045E-2</c:v>
                </c:pt>
                <c:pt idx="14">
                  <c:v>6.8261901290710796E-3</c:v>
                </c:pt>
                <c:pt idx="15">
                  <c:v>3.9860124059784077E-3</c:v>
                </c:pt>
                <c:pt idx="16">
                  <c:v>1.9571716269171885E-3</c:v>
                </c:pt>
                <c:pt idx="17">
                  <c:v>5.3761000675867012E-4</c:v>
                </c:pt>
                <c:pt idx="18">
                  <c:v>-4.4912010262775223E-4</c:v>
                </c:pt>
                <c:pt idx="19">
                  <c:v>-1.147408551012082E-3</c:v>
                </c:pt>
                <c:pt idx="20">
                  <c:v>-1.6620632534597721E-3</c:v>
                </c:pt>
                <c:pt idx="21">
                  <c:v>-2.0500459221227808E-3</c:v>
                </c:pt>
                <c:pt idx="22">
                  <c:v>-2.3120736516833648E-3</c:v>
                </c:pt>
                <c:pt idx="23">
                  <c:v>-2.3846083598620779E-3</c:v>
                </c:pt>
                <c:pt idx="24">
                  <c:v>-2.1324013063226178E-3</c:v>
                </c:pt>
                <c:pt idx="25">
                  <c:v>-1.3413642583818082E-3</c:v>
                </c:pt>
                <c:pt idx="26">
                  <c:v>2.8859901056881867E-4</c:v>
                </c:pt>
                <c:pt idx="27">
                  <c:v>3.1508246678545538E-3</c:v>
                </c:pt>
                <c:pt idx="28">
                  <c:v>7.7384495112521878E-3</c:v>
                </c:pt>
                <c:pt idx="29">
                  <c:v>1.4649020371298614E-2</c:v>
                </c:pt>
                <c:pt idx="30">
                  <c:v>2.4587077620692763E-2</c:v>
                </c:pt>
                <c:pt idx="31">
                  <c:v>3.837045073485712E-2</c:v>
                </c:pt>
                <c:pt idx="32">
                  <c:v>5.6961075313092815E-2</c:v>
                </c:pt>
                <c:pt idx="33">
                  <c:v>8.157246159303963E-2</c:v>
                </c:pt>
                <c:pt idx="34">
                  <c:v>0.11396345237948334</c:v>
                </c:pt>
                <c:pt idx="35">
                  <c:v>0.15712516523100037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67360"/>
        <c:axId val="93767936"/>
      </c:scatterChart>
      <c:valAx>
        <c:axId val="9376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3767936"/>
        <c:crossesAt val="-10000000000"/>
        <c:crossBetween val="midCat"/>
      </c:valAx>
      <c:valAx>
        <c:axId val="93767936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93767360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'Ciclagem7 BQF10 (2)'!$B$22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'Ciclagem7 BQF10 (2)'!$A$23:$A$58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'Ciclagem7 BQF10 (2)'!$B$23:$B$58</c:f>
              <c:numCache>
                <c:formatCode>0.0000000000E+00</c:formatCode>
                <c:ptCount val="36"/>
                <c:pt idx="0">
                  <c:v>-0.60164997959934186</c:v>
                </c:pt>
                <c:pt idx="1">
                  <c:v>-0.54244111497662961</c:v>
                </c:pt>
                <c:pt idx="2">
                  <c:v>-0.49696315036915556</c:v>
                </c:pt>
                <c:pt idx="3">
                  <c:v>-0.45891483816251794</c:v>
                </c:pt>
                <c:pt idx="4">
                  <c:v>-0.42469564020532846</c:v>
                </c:pt>
                <c:pt idx="5">
                  <c:v>-0.39232702745334719</c:v>
                </c:pt>
                <c:pt idx="6">
                  <c:v>-0.3607746278270329</c:v>
                </c:pt>
                <c:pt idx="7">
                  <c:v>-0.32953221591308307</c:v>
                </c:pt>
                <c:pt idx="8">
                  <c:v>-0.29837359764468485</c:v>
                </c:pt>
                <c:pt idx="9">
                  <c:v>-0.26720996684131265</c:v>
                </c:pt>
                <c:pt idx="10">
                  <c:v>-0.23601195953794249</c:v>
                </c:pt>
                <c:pt idx="11">
                  <c:v>-0.20477023119987406</c:v>
                </c:pt>
                <c:pt idx="12">
                  <c:v>-0.17347806187523976</c:v>
                </c:pt>
                <c:pt idx="13">
                  <c:v>-0.14212582043130423</c:v>
                </c:pt>
                <c:pt idx="14">
                  <c:v>-0.11070120680899621</c:v>
                </c:pt>
                <c:pt idx="15">
                  <c:v>-7.9191808721340559E-2</c:v>
                </c:pt>
                <c:pt idx="16">
                  <c:v>-4.7588165834662043E-2</c:v>
                </c:pt>
                <c:pt idx="17">
                  <c:v>-1.5886556707523571E-2</c:v>
                </c:pt>
                <c:pt idx="18">
                  <c:v>1.5908682411155395E-2</c:v>
                </c:pt>
                <c:pt idx="19">
                  <c:v>4.7783197874419224E-2</c:v>
                </c:pt>
                <c:pt idx="20">
                  <c:v>7.9710803990316451E-2</c:v>
                </c:pt>
                <c:pt idx="21">
                  <c:v>0.11165160358771452</c:v>
                </c:pt>
                <c:pt idx="22">
                  <c:v>0.14354986534288089</c:v>
                </c:pt>
                <c:pt idx="23">
                  <c:v>0.17533146398824054</c:v>
                </c:pt>
                <c:pt idx="24">
                  <c:v>0.2069005784846423</c:v>
                </c:pt>
                <c:pt idx="25">
                  <c:v>0.23813514366172803</c:v>
                </c:pt>
                <c:pt idx="26">
                  <c:v>0.26888036957106831</c:v>
                </c:pt>
                <c:pt idx="27">
                  <c:v>0.29893974367918535</c:v>
                </c:pt>
                <c:pt idx="28">
                  <c:v>0.32806380533231638</c:v>
                </c:pt>
                <c:pt idx="29">
                  <c:v>0.35593943215482099</c:v>
                </c:pt>
                <c:pt idx="30">
                  <c:v>0.38218761498030185</c:v>
                </c:pt>
                <c:pt idx="31">
                  <c:v>0.40638745096152407</c:v>
                </c:pt>
                <c:pt idx="32">
                  <c:v>0.42816072531475324</c:v>
                </c:pt>
                <c:pt idx="33">
                  <c:v>0.44737813154437467</c:v>
                </c:pt>
                <c:pt idx="34">
                  <c:v>0.46458897815060946</c:v>
                </c:pt>
                <c:pt idx="35">
                  <c:v>0.48183631978969327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31104"/>
        <c:axId val="159831680"/>
      </c:scatterChart>
      <c:valAx>
        <c:axId val="15983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9831680"/>
        <c:crossesAt val="-10000000000"/>
        <c:crossBetween val="midCat"/>
      </c:valAx>
      <c:valAx>
        <c:axId val="159831680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59831104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'Ciclagem7 BQF10 (2)'!$C$22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'Ciclagem7 BQF10 (2)'!$A$23:$A$58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'Ciclagem7 BQF10 (2)'!$C$23:$C$58</c:f>
              <c:numCache>
                <c:formatCode>0.0000000000E+00</c:formatCode>
                <c:ptCount val="36"/>
                <c:pt idx="0">
                  <c:v>-0.1574680000229603</c:v>
                </c:pt>
                <c:pt idx="1">
                  <c:v>-7.2422068642591209E-2</c:v>
                </c:pt>
                <c:pt idx="2">
                  <c:v>-2.366050908734085E-2</c:v>
                </c:pt>
                <c:pt idx="3">
                  <c:v>3.5085753896708545E-3</c:v>
                </c:pt>
                <c:pt idx="4">
                  <c:v>1.7879962552091185E-2</c:v>
                </c:pt>
                <c:pt idx="5">
                  <c:v>2.468229503655359E-2</c:v>
                </c:pt>
                <c:pt idx="6">
                  <c:v>2.7020582814051584E-2</c:v>
                </c:pt>
                <c:pt idx="7">
                  <c:v>2.6747949486983988E-2</c:v>
                </c:pt>
                <c:pt idx="8">
                  <c:v>2.498134697346039E-2</c:v>
                </c:pt>
                <c:pt idx="9">
                  <c:v>2.240195945398538E-2</c:v>
                </c:pt>
                <c:pt idx="10">
                  <c:v>1.9429328025493933E-2</c:v>
                </c:pt>
                <c:pt idx="11">
                  <c:v>1.6323316692326319E-2</c:v>
                </c:pt>
                <c:pt idx="12">
                  <c:v>1.324539814168779E-2</c:v>
                </c:pt>
                <c:pt idx="13">
                  <c:v>1.0296762844419754E-2</c:v>
                </c:pt>
                <c:pt idx="14">
                  <c:v>7.5426420769113484E-3</c:v>
                </c:pt>
                <c:pt idx="15">
                  <c:v>5.0278670761978042E-3</c:v>
                </c:pt>
                <c:pt idx="16">
                  <c:v>2.7865295467497781E-3</c:v>
                </c:pt>
                <c:pt idx="17">
                  <c:v>8.4761495683375991E-4</c:v>
                </c:pt>
                <c:pt idx="18">
                  <c:v>-7.6200847720367816E-4</c:v>
                </c:pt>
                <c:pt idx="19">
                  <c:v>-2.0162036255683725E-3</c:v>
                </c:pt>
                <c:pt idx="20">
                  <c:v>-2.8890780107001688E-3</c:v>
                </c:pt>
                <c:pt idx="21">
                  <c:v>-3.3550410286431807E-3</c:v>
                </c:pt>
                <c:pt idx="22">
                  <c:v>-3.3893604475688632E-3</c:v>
                </c:pt>
                <c:pt idx="23">
                  <c:v>-2.9694232827328464E-3</c:v>
                </c:pt>
                <c:pt idx="24">
                  <c:v>-2.0771516240769032E-3</c:v>
                </c:pt>
                <c:pt idx="25">
                  <c:v>-7.0347246245949617E-4</c:v>
                </c:pt>
                <c:pt idx="26">
                  <c:v>1.1431930011063047E-3</c:v>
                </c:pt>
                <c:pt idx="27">
                  <c:v>3.4200929552418982E-3</c:v>
                </c:pt>
                <c:pt idx="28">
                  <c:v>6.0159853019012633E-3</c:v>
                </c:pt>
                <c:pt idx="29">
                  <c:v>8.6823938046561352E-3</c:v>
                </c:pt>
                <c:pt idx="30">
                  <c:v>1.0899348296800093E-2</c:v>
                </c:pt>
                <c:pt idx="31">
                  <c:v>1.1623432855041759E-2</c:v>
                </c:pt>
                <c:pt idx="32">
                  <c:v>8.8344909195586501E-3</c:v>
                </c:pt>
                <c:pt idx="33">
                  <c:v>-1.2475242020739295E-3</c:v>
                </c:pt>
                <c:pt idx="34">
                  <c:v>-2.5465987709739624E-2</c:v>
                </c:pt>
                <c:pt idx="35">
                  <c:v>-7.5824966915797334E-2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88576"/>
        <c:axId val="162635776"/>
      </c:scatterChart>
      <c:valAx>
        <c:axId val="16588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2635776"/>
        <c:crossesAt val="-10000000000"/>
        <c:crossBetween val="midCat"/>
      </c:valAx>
      <c:valAx>
        <c:axId val="162635776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65888576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'Ciclagem7 BQF10'!$B$22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'Ciclagem7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'Ciclagem7 BQF10'!$B$23:$B$58</c:f>
              <c:numCache>
                <c:formatCode>0.0000000000E+00</c:formatCode>
                <c:ptCount val="36"/>
                <c:pt idx="0">
                  <c:v>-0.52873238987648974</c:v>
                </c:pt>
                <c:pt idx="1">
                  <c:v>-0.58440461250105391</c:v>
                </c:pt>
                <c:pt idx="2">
                  <c:v>-0.59623257010786568</c:v>
                </c:pt>
                <c:pt idx="3">
                  <c:v>-0.58282651675456043</c:v>
                </c:pt>
                <c:pt idx="4">
                  <c:v>-0.55527127326721748</c:v>
                </c:pt>
                <c:pt idx="5">
                  <c:v>-0.52002375066951601</c:v>
                </c:pt>
                <c:pt idx="6">
                  <c:v>-0.48076104925979929</c:v>
                </c:pt>
                <c:pt idx="7">
                  <c:v>-0.43952935606161742</c:v>
                </c:pt>
                <c:pt idx="8">
                  <c:v>-0.39743911443419822</c:v>
                </c:pt>
                <c:pt idx="9">
                  <c:v>-0.35507424585036484</c:v>
                </c:pt>
                <c:pt idx="10">
                  <c:v>-0.31272683451343491</c:v>
                </c:pt>
                <c:pt idx="11">
                  <c:v>-0.27052882785479121</c:v>
                </c:pt>
                <c:pt idx="12">
                  <c:v>-0.22852496956808094</c:v>
                </c:pt>
                <c:pt idx="13">
                  <c:v>-0.18671310715819062</c:v>
                </c:pt>
                <c:pt idx="14">
                  <c:v>-0.14506658741181697</c:v>
                </c:pt>
                <c:pt idx="15">
                  <c:v>-0.10354661643069239</c:v>
                </c:pt>
                <c:pt idx="16">
                  <c:v>-6.2108644631256385E-2</c:v>
                </c:pt>
                <c:pt idx="17">
                  <c:v>-2.0704879233117007E-2</c:v>
                </c:pt>
                <c:pt idx="18">
                  <c:v>2.0715895397447073E-2</c:v>
                </c:pt>
                <c:pt idx="19">
                  <c:v>6.2210443906501059E-2</c:v>
                </c:pt>
                <c:pt idx="20">
                  <c:v>0.103844689066334</c:v>
                </c:pt>
                <c:pt idx="21">
                  <c:v>0.1456986475660125</c:v>
                </c:pt>
                <c:pt idx="22">
                  <c:v>0.1878729415816339</c:v>
                </c:pt>
                <c:pt idx="23">
                  <c:v>0.23049765456840943</c:v>
                </c:pt>
                <c:pt idx="24">
                  <c:v>0.27374493518724813</c:v>
                </c:pt>
                <c:pt idx="25">
                  <c:v>0.31784753244248776</c:v>
                </c:pt>
                <c:pt idx="26">
                  <c:v>0.36312645561908302</c:v>
                </c:pt>
                <c:pt idx="27">
                  <c:v>0.41003237255982738</c:v>
                </c:pt>
                <c:pt idx="28">
                  <c:v>0.45920748373685211</c:v>
                </c:pt>
                <c:pt idx="29">
                  <c:v>0.51157787002720301</c:v>
                </c:pt>
                <c:pt idx="30">
                  <c:v>0.56849129701453804</c:v>
                </c:pt>
                <c:pt idx="31">
                  <c:v>0.63192292417423934</c:v>
                </c:pt>
                <c:pt idx="32">
                  <c:v>0.70478224643534482</c:v>
                </c:pt>
                <c:pt idx="33">
                  <c:v>0.79137000234172916</c:v>
                </c:pt>
                <c:pt idx="34">
                  <c:v>0.89805501220843131</c:v>
                </c:pt>
                <c:pt idx="35">
                  <c:v>1.0342694324862356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93760"/>
        <c:axId val="165894336"/>
      </c:scatterChart>
      <c:valAx>
        <c:axId val="16589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5894336"/>
        <c:crossesAt val="-10000000000"/>
        <c:crossBetween val="midCat"/>
      </c:valAx>
      <c:valAx>
        <c:axId val="165894336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65893760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'Ciclagem7 BQF10'!$C$22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'Ciclagem7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'Ciclagem7 BQF10'!$C$23:$C$58</c:f>
              <c:numCache>
                <c:formatCode>0.0000000000E+00</c:formatCode>
                <c:ptCount val="36"/>
                <c:pt idx="0">
                  <c:v>0.40757617264295692</c:v>
                </c:pt>
                <c:pt idx="1">
                  <c:v>0.24554007878639869</c:v>
                </c:pt>
                <c:pt idx="2">
                  <c:v>0.15549645523569075</c:v>
                </c:pt>
                <c:pt idx="3">
                  <c:v>0.10517698934608033</c:v>
                </c:pt>
                <c:pt idx="4">
                  <c:v>7.630653709225442E-2</c:v>
                </c:pt>
                <c:pt idx="5">
                  <c:v>5.8793309043306027E-2</c:v>
                </c:pt>
                <c:pt idx="6">
                  <c:v>4.7216835678927684E-2</c:v>
                </c:pt>
                <c:pt idx="7">
                  <c:v>3.8756244044844824E-2</c:v>
                </c:pt>
                <c:pt idx="8">
                  <c:v>3.1997974020590292E-2</c:v>
                </c:pt>
                <c:pt idx="9">
                  <c:v>2.6266249309801374E-2</c:v>
                </c:pt>
                <c:pt idx="10">
                  <c:v>2.1256246944758951E-2</c:v>
                </c:pt>
                <c:pt idx="11">
                  <c:v>1.683842715594449E-2</c:v>
                </c:pt>
                <c:pt idx="12">
                  <c:v>1.2957783183216927E-2</c:v>
                </c:pt>
                <c:pt idx="13">
                  <c:v>9.5849552810239082E-3</c:v>
                </c:pt>
                <c:pt idx="14">
                  <c:v>6.695251042982118E-3</c:v>
                </c:pt>
                <c:pt idx="15">
                  <c:v>4.2622001543293139E-3</c:v>
                </c:pt>
                <c:pt idx="16">
                  <c:v>2.2580267876234654E-3</c:v>
                </c:pt>
                <c:pt idx="17">
                  <c:v>6.5661936787001667E-4</c:v>
                </c:pt>
                <c:pt idx="18">
                  <c:v>-5.6350820635874932E-4</c:v>
                </c:pt>
                <c:pt idx="19">
                  <c:v>-1.4175163474209353E-3</c:v>
                </c:pt>
                <c:pt idx="20">
                  <c:v>-1.9142260859795382E-3</c:v>
                </c:pt>
                <c:pt idx="21">
                  <c:v>-2.057773326203455E-3</c:v>
                </c:pt>
                <c:pt idx="22">
                  <c:v>-1.8508744963275016E-3</c:v>
                </c:pt>
                <c:pt idx="23">
                  <c:v>-1.3000538012368501E-3</c:v>
                </c:pt>
                <c:pt idx="24">
                  <c:v>-4.2410846819542603E-4</c:v>
                </c:pt>
                <c:pt idx="25">
                  <c:v>7.3126228135011551E-4</c:v>
                </c:pt>
                <c:pt idx="26">
                  <c:v>2.0668682825141509E-3</c:v>
                </c:pt>
                <c:pt idx="27">
                  <c:v>3.3805617354943952E-3</c:v>
                </c:pt>
                <c:pt idx="28">
                  <c:v>4.2747311017840069E-3</c:v>
                </c:pt>
                <c:pt idx="29">
                  <c:v>3.984132597638944E-3</c:v>
                </c:pt>
                <c:pt idx="30">
                  <c:v>1.0589845944970683E-3</c:v>
                </c:pt>
                <c:pt idx="31">
                  <c:v>-7.2091693323487827E-3</c:v>
                </c:pt>
                <c:pt idx="32">
                  <c:v>-2.5807491266879246E-2</c:v>
                </c:pt>
                <c:pt idx="33">
                  <c:v>-6.3774608680289988E-2</c:v>
                </c:pt>
                <c:pt idx="34">
                  <c:v>-0.13721058770072611</c:v>
                </c:pt>
                <c:pt idx="35">
                  <c:v>-0.27426823843137971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68800"/>
        <c:axId val="166069376"/>
      </c:scatterChart>
      <c:valAx>
        <c:axId val="16606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6069376"/>
        <c:crossesAt val="-10000000000"/>
        <c:crossBetween val="midCat"/>
      </c:valAx>
      <c:valAx>
        <c:axId val="166069376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66068800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'Ciclagem6 BQF10'!$B$22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'Ciclagem6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'Ciclagem6 BQF10'!$B$23:$B$58</c:f>
              <c:numCache>
                <c:formatCode>0.0000000000E+00</c:formatCode>
                <c:ptCount val="36"/>
                <c:pt idx="0">
                  <c:v>-0.58554625589609832</c:v>
                </c:pt>
                <c:pt idx="1">
                  <c:v>-0.52772315115512836</c:v>
                </c:pt>
                <c:pt idx="2">
                  <c:v>-0.48168090962589055</c:v>
                </c:pt>
                <c:pt idx="3">
                  <c:v>-0.44310102374562915</c:v>
                </c:pt>
                <c:pt idx="4">
                  <c:v>-0.40894163455477484</c:v>
                </c:pt>
                <c:pt idx="5">
                  <c:v>-0.37719247145297635</c:v>
                </c:pt>
                <c:pt idx="6">
                  <c:v>-0.34660966012580707</c:v>
                </c:pt>
                <c:pt idx="7">
                  <c:v>-0.31648047878021968</c:v>
                </c:pt>
                <c:pt idx="8">
                  <c:v>-0.28643740604294815</c:v>
                </c:pt>
                <c:pt idx="9">
                  <c:v>-0.25632310518534079</c:v>
                </c:pt>
                <c:pt idx="10">
                  <c:v>-0.22609916257392348</c:v>
                </c:pt>
                <c:pt idx="11">
                  <c:v>-0.19578825303990846</c:v>
                </c:pt>
                <c:pt idx="12">
                  <c:v>-0.16543957644118762</c:v>
                </c:pt>
                <c:pt idx="13">
                  <c:v>-0.1351092199119408</c:v>
                </c:pt>
                <c:pt idx="14">
                  <c:v>-0.10484942990113223</c:v>
                </c:pt>
                <c:pt idx="15">
                  <c:v>-7.47029502168087E-2</c:v>
                </c:pt>
                <c:pt idx="16">
                  <c:v>-4.4700257149930027E-2</c:v>
                </c:pt>
                <c:pt idx="17">
                  <c:v>-1.4858603644639387E-2</c:v>
                </c:pt>
                <c:pt idx="18">
                  <c:v>1.4817665041602066E-2</c:v>
                </c:pt>
                <c:pt idx="19">
                  <c:v>4.4335889465800381E-2</c:v>
                </c:pt>
                <c:pt idx="20">
                  <c:v>7.3713358569282336E-2</c:v>
                </c:pt>
                <c:pt idx="21">
                  <c:v>0.10297551062563258</c:v>
                </c:pt>
                <c:pt idx="22">
                  <c:v>0.13215452661828161</c:v>
                </c:pt>
                <c:pt idx="23">
                  <c:v>0.16128869130779608</c:v>
                </c:pt>
                <c:pt idx="24">
                  <c:v>0.19042282456220547</c:v>
                </c:pt>
                <c:pt idx="25">
                  <c:v>0.21961020889615032</c:v>
                </c:pt>
                <c:pt idx="26">
                  <c:v>0.24891704645133098</c:v>
                </c:pt>
                <c:pt idx="27">
                  <c:v>0.2784319373339762</c:v>
                </c:pt>
                <c:pt idx="28">
                  <c:v>0.30828559890925583</c:v>
                </c:pt>
                <c:pt idx="29">
                  <c:v>0.33869046932736813</c:v>
                </c:pt>
                <c:pt idx="30">
                  <c:v>0.37001634262790728</c:v>
                </c:pt>
                <c:pt idx="31">
                  <c:v>0.40292704586107719</c:v>
                </c:pt>
                <c:pt idx="32">
                  <c:v>0.43861448918415052</c:v>
                </c:pt>
                <c:pt idx="33">
                  <c:v>0.47918003036829376</c:v>
                </c:pt>
                <c:pt idx="34">
                  <c:v>0.5282284653395074</c:v>
                </c:pt>
                <c:pt idx="35">
                  <c:v>0.59175608513217559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94336"/>
        <c:axId val="161894912"/>
      </c:scatterChart>
      <c:valAx>
        <c:axId val="16189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894912"/>
        <c:crossesAt val="-10000000000"/>
        <c:crossBetween val="midCat"/>
      </c:valAx>
      <c:valAx>
        <c:axId val="161894912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61894336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'Ciclagem6 BQF10'!$C$22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'Ciclagem6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'Ciclagem6 BQF10'!$C$23:$C$58</c:f>
              <c:numCache>
                <c:formatCode>0.0000000000E+00</c:formatCode>
                <c:ptCount val="36"/>
                <c:pt idx="0">
                  <c:v>-0.4198149297821353</c:v>
                </c:pt>
                <c:pt idx="1">
                  <c:v>-0.25209751736555974</c:v>
                </c:pt>
                <c:pt idx="2">
                  <c:v>-0.1549275258942201</c:v>
                </c:pt>
                <c:pt idx="3">
                  <c:v>-9.8696254372642289E-2</c:v>
                </c:pt>
                <c:pt idx="4">
                  <c:v>-6.5954268756415566E-2</c:v>
                </c:pt>
                <c:pt idx="5">
                  <c:v>-4.6590467240976749E-2</c:v>
                </c:pt>
                <c:pt idx="6">
                  <c:v>-3.4827610686467586E-2</c:v>
                </c:pt>
                <c:pt idx="7">
                  <c:v>-2.7394598855122548E-2</c:v>
                </c:pt>
                <c:pt idx="8">
                  <c:v>-2.2442257844242499E-2</c:v>
                </c:pt>
                <c:pt idx="9">
                  <c:v>-1.8916391012952435E-2</c:v>
                </c:pt>
                <c:pt idx="10">
                  <c:v>-1.6204052468685989E-2</c:v>
                </c:pt>
                <c:pt idx="11">
                  <c:v>-1.3938211574883022E-2</c:v>
                </c:pt>
                <c:pt idx="12">
                  <c:v>-1.1891457287901213E-2</c:v>
                </c:pt>
                <c:pt idx="13">
                  <c:v>-9.9182841564257069E-3</c:v>
                </c:pt>
                <c:pt idx="14">
                  <c:v>-7.9231779495960823E-3</c:v>
                </c:pt>
                <c:pt idx="15">
                  <c:v>-5.8420999868892525E-3</c:v>
                </c:pt>
                <c:pt idx="16">
                  <c:v>-3.6308188031597042E-3</c:v>
                </c:pt>
                <c:pt idx="17">
                  <c:v>-1.2567185051120646E-3</c:v>
                </c:pt>
                <c:pt idx="18">
                  <c:v>1.3075879451632073E-3</c:v>
                </c:pt>
                <c:pt idx="19">
                  <c:v>4.0895914736506986E-3</c:v>
                </c:pt>
                <c:pt idx="20">
                  <c:v>7.1213933873777013E-3</c:v>
                </c:pt>
                <c:pt idx="21">
                  <c:v>1.0443303105394562E-2</c:v>
                </c:pt>
                <c:pt idx="22">
                  <c:v>1.4106263892741692E-2</c:v>
                </c:pt>
                <c:pt idx="23">
                  <c:v>1.8172747501652889E-2</c:v>
                </c:pt>
                <c:pt idx="24">
                  <c:v>2.2715712123527288E-2</c:v>
                </c:pt>
                <c:pt idx="25">
                  <c:v>2.7815197422202342E-2</c:v>
                </c:pt>
                <c:pt idx="26">
                  <c:v>3.3552159597839297E-2</c:v>
                </c:pt>
                <c:pt idx="27">
                  <c:v>3.999936778773288E-2</c:v>
                </c:pt>
                <c:pt idx="28">
                  <c:v>4.7209945980623731E-2</c:v>
                </c:pt>
                <c:pt idx="29">
                  <c:v>5.5206156414686437E-2</c:v>
                </c:pt>
                <c:pt idx="30">
                  <c:v>6.3975500297970875E-2</c:v>
                </c:pt>
                <c:pt idx="31">
                  <c:v>7.3490091753788525E-2</c:v>
                </c:pt>
                <c:pt idx="32">
                  <c:v>8.3781417027862834E-2</c:v>
                </c:pt>
                <c:pt idx="33">
                  <c:v>9.5130106177090112E-2</c:v>
                </c:pt>
                <c:pt idx="34">
                  <c:v>0.10847480467952815</c:v>
                </c:pt>
                <c:pt idx="35">
                  <c:v>0.12621305512729702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97216"/>
        <c:axId val="161897792"/>
      </c:scatterChart>
      <c:valAx>
        <c:axId val="16189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897792"/>
        <c:crossesAt val="-10000000000"/>
        <c:crossBetween val="midCat"/>
      </c:valAx>
      <c:valAx>
        <c:axId val="161897792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61897216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'Ciclagem5 BQF10 (3)'!$B$22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'Ciclagem5 BQF10 (3)'!$A$23:$A$58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'Ciclagem5 BQF10 (3)'!$B$23:$B$58</c:f>
              <c:numCache>
                <c:formatCode>0.0000000000E+00</c:formatCode>
                <c:ptCount val="36"/>
                <c:pt idx="0">
                  <c:v>-0.50629428979743163</c:v>
                </c:pt>
                <c:pt idx="1">
                  <c:v>-0.44599914178465538</c:v>
                </c:pt>
                <c:pt idx="2">
                  <c:v>-0.40012784600779067</c:v>
                </c:pt>
                <c:pt idx="3">
                  <c:v>-0.36327555055414618</c:v>
                </c:pt>
                <c:pt idx="4">
                  <c:v>-0.33189566149316879</c:v>
                </c:pt>
                <c:pt idx="5">
                  <c:v>-0.30373515133133627</c:v>
                </c:pt>
                <c:pt idx="6">
                  <c:v>-0.2774153742445265</c:v>
                </c:pt>
                <c:pt idx="7">
                  <c:v>-0.2521282562081546</c:v>
                </c:pt>
                <c:pt idx="8">
                  <c:v>-0.22742225756047812</c:v>
                </c:pt>
                <c:pt idx="9">
                  <c:v>-0.20305668303172547</c:v>
                </c:pt>
                <c:pt idx="10">
                  <c:v>-0.17890671763284571</c:v>
                </c:pt>
                <c:pt idx="11">
                  <c:v>-0.15490497882558285</c:v>
                </c:pt>
                <c:pt idx="12">
                  <c:v>-0.13100838574300114</c:v>
                </c:pt>
                <c:pt idx="13">
                  <c:v>-0.10718175268550038</c:v>
                </c:pt>
                <c:pt idx="14">
                  <c:v>-8.3391723351076225E-2</c:v>
                </c:pt>
                <c:pt idx="15">
                  <c:v>-5.9606490021492486E-2</c:v>
                </c:pt>
                <c:pt idx="16">
                  <c:v>-3.5798212711042769E-2</c:v>
                </c:pt>
                <c:pt idx="17">
                  <c:v>-1.1946199443264487E-2</c:v>
                </c:pt>
                <c:pt idx="18">
                  <c:v>1.1960230861645845E-2</c:v>
                </c:pt>
                <c:pt idx="19">
                  <c:v>3.5919663678885543E-2</c:v>
                </c:pt>
                <c:pt idx="20">
                  <c:v>5.9917322796827759E-2</c:v>
                </c:pt>
                <c:pt idx="21">
                  <c:v>8.3924396234917223E-2</c:v>
                </c:pt>
                <c:pt idx="22">
                  <c:v>0.10789757431552661</c:v>
                </c:pt>
                <c:pt idx="23">
                  <c:v>0.13177835008094371</c:v>
                </c:pt>
                <c:pt idx="24">
                  <c:v>0.15549162845465536</c:v>
                </c:pt>
                <c:pt idx="25">
                  <c:v>0.17894325456528004</c:v>
                </c:pt>
                <c:pt idx="26">
                  <c:v>0.20201622961379534</c:v>
                </c:pt>
                <c:pt idx="27">
                  <c:v>0.22456569149947378</c:v>
                </c:pt>
                <c:pt idx="28">
                  <c:v>0.24641329170233833</c:v>
                </c:pt>
                <c:pt idx="29">
                  <c:v>0.2673425392615737</c:v>
                </c:pt>
                <c:pt idx="30">
                  <c:v>0.28709819967122019</c:v>
                </c:pt>
                <c:pt idx="31">
                  <c:v>0.30539518516238945</c:v>
                </c:pt>
                <c:pt idx="32">
                  <c:v>0.32194587764326971</c:v>
                </c:pt>
                <c:pt idx="33">
                  <c:v>0.33651989103468072</c:v>
                </c:pt>
                <c:pt idx="34">
                  <c:v>0.34905740050475859</c:v>
                </c:pt>
                <c:pt idx="35">
                  <c:v>0.35986693757540833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10016"/>
        <c:axId val="146910592"/>
      </c:scatterChart>
      <c:valAx>
        <c:axId val="14691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910592"/>
        <c:crossesAt val="-10000000000"/>
        <c:crossBetween val="midCat"/>
      </c:valAx>
      <c:valAx>
        <c:axId val="146910592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46910016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'Ciclagem5 BQF10 (3)'!$C$22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'Ciclagem5 BQF10 (3)'!$A$23:$A$58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'Ciclagem5 BQF10 (3)'!$C$23:$C$58</c:f>
              <c:numCache>
                <c:formatCode>0.0000000000E+00</c:formatCode>
                <c:ptCount val="36"/>
                <c:pt idx="0">
                  <c:v>0.10222373403620771</c:v>
                </c:pt>
                <c:pt idx="1">
                  <c:v>9.404388825659489E-2</c:v>
                </c:pt>
                <c:pt idx="2">
                  <c:v>7.9999139593508725E-2</c:v>
                </c:pt>
                <c:pt idx="3">
                  <c:v>6.5404859116388284E-2</c:v>
                </c:pt>
                <c:pt idx="4">
                  <c:v>5.236683844606102E-2</c:v>
                </c:pt>
                <c:pt idx="5">
                  <c:v>4.1434565132675051E-2</c:v>
                </c:pt>
                <c:pt idx="6">
                  <c:v>3.2496701526926984E-2</c:v>
                </c:pt>
                <c:pt idx="7">
                  <c:v>2.5230467517479562E-2</c:v>
                </c:pt>
                <c:pt idx="8">
                  <c:v>1.9302603826981995E-2</c:v>
                </c:pt>
                <c:pt idx="9">
                  <c:v>1.444177962136445E-2</c:v>
                </c:pt>
                <c:pt idx="10">
                  <c:v>1.0451113040490605E-2</c:v>
                </c:pt>
                <c:pt idx="11">
                  <c:v>7.1972930611847738E-3</c:v>
                </c:pt>
                <c:pt idx="12">
                  <c:v>4.5937242876371914E-3</c:v>
                </c:pt>
                <c:pt idx="13">
                  <c:v>2.5846960473534879E-3</c:v>
                </c:pt>
                <c:pt idx="14">
                  <c:v>1.1325274214751737E-3</c:v>
                </c:pt>
                <c:pt idx="15">
                  <c:v>2.0765328880569813E-4</c:v>
                </c:pt>
                <c:pt idx="16">
                  <c:v>-2.1884472637266836E-4</c:v>
                </c:pt>
                <c:pt idx="17">
                  <c:v>-1.8063983894118908E-4</c:v>
                </c:pt>
                <c:pt idx="18">
                  <c:v>2.8031898965588621E-4</c:v>
                </c:pt>
                <c:pt idx="19">
                  <c:v>1.1120399799041708E-3</c:v>
                </c:pt>
                <c:pt idx="20">
                  <c:v>2.252270226070858E-3</c:v>
                </c:pt>
                <c:pt idx="21">
                  <c:v>3.6295046856470829E-3</c:v>
                </c:pt>
                <c:pt idx="22">
                  <c:v>5.1648886298457791E-3</c:v>
                </c:pt>
                <c:pt idx="23">
                  <c:v>6.7749127367231644E-3</c:v>
                </c:pt>
                <c:pt idx="24">
                  <c:v>8.3753983293937753E-3</c:v>
                </c:pt>
                <c:pt idx="25">
                  <c:v>9.8883340628089685E-3</c:v>
                </c:pt>
                <c:pt idx="26">
                  <c:v>1.1254759150387084E-2</c:v>
                </c:pt>
                <c:pt idx="27">
                  <c:v>1.24592472488103E-2</c:v>
                </c:pt>
                <c:pt idx="28">
                  <c:v>1.357490415005279E-2</c:v>
                </c:pt>
                <c:pt idx="29">
                  <c:v>1.4842636857471248E-2</c:v>
                </c:pt>
                <c:pt idx="30">
                  <c:v>1.680559093650295E-2</c:v>
                </c:pt>
                <c:pt idx="31">
                  <c:v>2.0530356631808602E-2</c:v>
                </c:pt>
                <c:pt idx="32">
                  <c:v>2.7962699613156877E-2</c:v>
                </c:pt>
                <c:pt idx="33">
                  <c:v>4.2489865430993944E-2</c:v>
                </c:pt>
                <c:pt idx="34">
                  <c:v>6.9817625373584491E-2</c:v>
                </c:pt>
                <c:pt idx="35">
                  <c:v>0.11932308964793019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12896"/>
        <c:axId val="146913472"/>
      </c:scatterChart>
      <c:valAx>
        <c:axId val="146912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913472"/>
        <c:crossesAt val="-10000000000"/>
        <c:crossBetween val="midCat"/>
      </c:valAx>
      <c:valAx>
        <c:axId val="146913472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46912896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'Ciclagem5 BQF10 (2)'!$B$22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'Ciclagem5 BQF10 (2)'!$A$23:$A$58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'Ciclagem5 BQF10 (2)'!$B$23:$B$58</c:f>
              <c:numCache>
                <c:formatCode>0.0000000000E+00</c:formatCode>
                <c:ptCount val="36"/>
                <c:pt idx="0">
                  <c:v>-0.14756384795559974</c:v>
                </c:pt>
                <c:pt idx="1">
                  <c:v>-0.24244094747800679</c:v>
                </c:pt>
                <c:pt idx="2">
                  <c:v>-0.28849921561769515</c:v>
                </c:pt>
                <c:pt idx="3">
                  <c:v>-0.30533227849786471</c:v>
                </c:pt>
                <c:pt idx="4">
                  <c:v>-0.30485858381033465</c:v>
                </c:pt>
                <c:pt idx="5">
                  <c:v>-0.29420685464723678</c:v>
                </c:pt>
                <c:pt idx="6">
                  <c:v>-0.27758059974544913</c:v>
                </c:pt>
                <c:pt idx="7">
                  <c:v>-0.25743430360770203</c:v>
                </c:pt>
                <c:pt idx="8">
                  <c:v>-0.23519684568602542</c:v>
                </c:pt>
                <c:pt idx="9">
                  <c:v>-0.21170505946329735</c:v>
                </c:pt>
                <c:pt idx="10">
                  <c:v>-0.18745713558013727</c:v>
                </c:pt>
                <c:pt idx="11">
                  <c:v>-0.16275754335938655</c:v>
                </c:pt>
                <c:pt idx="12">
                  <c:v>-0.13779872367052712</c:v>
                </c:pt>
                <c:pt idx="13">
                  <c:v>-0.11270704793982303</c:v>
                </c:pt>
                <c:pt idx="14">
                  <c:v>-8.7569059047957948E-2</c:v>
                </c:pt>
                <c:pt idx="15">
                  <c:v>-6.2446924466997393E-2</c:v>
                </c:pt>
                <c:pt idx="16">
                  <c:v>-3.7387891944736476E-2</c:v>
                </c:pt>
                <c:pt idx="17">
                  <c:v>-1.2430270735005107E-2</c:v>
                </c:pt>
                <c:pt idx="18">
                  <c:v>1.2392691076299424E-2</c:v>
                </c:pt>
                <c:pt idx="19">
                  <c:v>3.7050203923666127E-2</c:v>
                </c:pt>
                <c:pt idx="20">
                  <c:v>6.1512019588053829E-2</c:v>
                </c:pt>
                <c:pt idx="21">
                  <c:v>8.5746724763857501E-2</c:v>
                </c:pt>
                <c:pt idx="22">
                  <c:v>0.10971986071357594</c:v>
                </c:pt>
                <c:pt idx="23">
                  <c:v>0.13339163569487719</c:v>
                </c:pt>
                <c:pt idx="24">
                  <c:v>0.15671433830192791</c:v>
                </c:pt>
                <c:pt idx="25">
                  <c:v>0.17963032184891878</c:v>
                </c:pt>
                <c:pt idx="26">
                  <c:v>0.20207300235840694</c:v>
                </c:pt>
                <c:pt idx="27">
                  <c:v>0.22397630261474652</c:v>
                </c:pt>
                <c:pt idx="28">
                  <c:v>0.24530326341987443</c:v>
                </c:pt>
                <c:pt idx="29">
                  <c:v>0.26611334309397044</c:v>
                </c:pt>
                <c:pt idx="30">
                  <c:v>0.28670183743182975</c:v>
                </c:pt>
                <c:pt idx="31">
                  <c:v>0.30786591845436062</c:v>
                </c:pt>
                <c:pt idx="32">
                  <c:v>0.33138255444231413</c:v>
                </c:pt>
                <c:pt idx="33">
                  <c:v>0.36082713364918695</c:v>
                </c:pt>
                <c:pt idx="34">
                  <c:v>0.40292167713462684</c:v>
                </c:pt>
                <c:pt idx="35">
                  <c:v>0.46968246390888313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28992"/>
        <c:axId val="138429568"/>
      </c:scatterChart>
      <c:valAx>
        <c:axId val="138428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429568"/>
        <c:crossesAt val="-10000000000"/>
        <c:crossBetween val="midCat"/>
      </c:valAx>
      <c:valAx>
        <c:axId val="138429568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38428992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'Ciclagem5 BQF10 (2)'!$C$22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'Ciclagem5 BQF10 (2)'!$A$23:$A$58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'Ciclagem5 BQF10 (2)'!$C$23:$C$58</c:f>
              <c:numCache>
                <c:formatCode>0.0000000000E+00</c:formatCode>
                <c:ptCount val="36"/>
                <c:pt idx="0">
                  <c:v>0.1576638204255297</c:v>
                </c:pt>
                <c:pt idx="1">
                  <c:v>8.877864213787115E-2</c:v>
                </c:pt>
                <c:pt idx="2">
                  <c:v>5.5180613422421379E-2</c:v>
                </c:pt>
                <c:pt idx="3">
                  <c:v>3.9453751138337129E-2</c:v>
                </c:pt>
                <c:pt idx="4">
                  <c:v>3.220931650596242E-2</c:v>
                </c:pt>
                <c:pt idx="5">
                  <c:v>2.8617759302040673E-2</c:v>
                </c:pt>
                <c:pt idx="6">
                  <c:v>2.634087855644365E-2</c:v>
                </c:pt>
                <c:pt idx="7">
                  <c:v>2.4342058252376897E-2</c:v>
                </c:pt>
                <c:pt idx="8">
                  <c:v>2.2229051798858982E-2</c:v>
                </c:pt>
                <c:pt idx="9">
                  <c:v>1.9907538378100043E-2</c:v>
                </c:pt>
                <c:pt idx="10">
                  <c:v>1.7408060592828498E-2</c:v>
                </c:pt>
                <c:pt idx="11">
                  <c:v>1.4804705419390116E-2</c:v>
                </c:pt>
                <c:pt idx="12">
                  <c:v>1.2179374926327799E-2</c:v>
                </c:pt>
                <c:pt idx="13">
                  <c:v>9.6070883947762756E-3</c:v>
                </c:pt>
                <c:pt idx="14">
                  <c:v>7.1501992438344469E-3</c:v>
                </c:pt>
                <c:pt idx="15">
                  <c:v>4.8561020823771868E-3</c:v>
                </c:pt>
                <c:pt idx="16">
                  <c:v>2.7562961026626259E-3</c:v>
                </c:pt>
                <c:pt idx="17">
                  <c:v>8.6609944964764611E-4</c:v>
                </c:pt>
                <c:pt idx="18">
                  <c:v>-8.1518522769932983E-4</c:v>
                </c:pt>
                <c:pt idx="19">
                  <c:v>-2.3037521531651395E-3</c:v>
                </c:pt>
                <c:pt idx="20">
                  <c:v>-3.630577616357687E-3</c:v>
                </c:pt>
                <c:pt idx="21">
                  <c:v>-4.840805179421274E-3</c:v>
                </c:pt>
                <c:pt idx="22">
                  <c:v>-5.9937515729139969E-3</c:v>
                </c:pt>
                <c:pt idx="23">
                  <c:v>-7.1644069900281653E-3</c:v>
                </c:pt>
                <c:pt idx="24">
                  <c:v>-8.4478544989690756E-3</c:v>
                </c:pt>
                <c:pt idx="25">
                  <c:v>-9.9688981308525808E-3</c:v>
                </c:pt>
                <c:pt idx="26">
                  <c:v>-1.1900583643816322E-2</c:v>
                </c:pt>
                <c:pt idx="27">
                  <c:v>-1.4497622328375788E-2</c:v>
                </c:pt>
                <c:pt idx="28">
                  <c:v>-1.81546950702863E-2</c:v>
                </c:pt>
                <c:pt idx="29">
                  <c:v>-2.3506388863166552E-2</c:v>
                </c:pt>
                <c:pt idx="30">
                  <c:v>-3.1596913701991206E-2</c:v>
                </c:pt>
                <c:pt idx="31">
                  <c:v>-4.4166440963780952E-2</c:v>
                </c:pt>
                <c:pt idx="32">
                  <c:v>-6.4130687844481685E-2</c:v>
                </c:pt>
                <c:pt idx="33">
                  <c:v>-9.6376440448859707E-2</c:v>
                </c:pt>
                <c:pt idx="34">
                  <c:v>-0.1490649747836707</c:v>
                </c:pt>
                <c:pt idx="35">
                  <c:v>-0.23573678548950516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31872"/>
        <c:axId val="138432448"/>
      </c:scatterChart>
      <c:valAx>
        <c:axId val="13843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432448"/>
        <c:crossesAt val="-10000000000"/>
        <c:crossBetween val="midCat"/>
      </c:valAx>
      <c:valAx>
        <c:axId val="138432448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38431872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'Ciclagem5 BQF10'!$B$22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'Ciclagem5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'Ciclagem5 BQF10'!$B$23:$B$58</c:f>
              <c:numCache>
                <c:formatCode>0.0000000000E+00</c:formatCode>
                <c:ptCount val="36"/>
                <c:pt idx="0">
                  <c:v>-0.36968501689648497</c:v>
                </c:pt>
                <c:pt idx="1">
                  <c:v>-0.37401670822542477</c:v>
                </c:pt>
                <c:pt idx="2">
                  <c:v>-0.36682452966735463</c:v>
                </c:pt>
                <c:pt idx="3">
                  <c:v>-0.3523272564960816</c:v>
                </c:pt>
                <c:pt idx="4">
                  <c:v>-0.33323248710823256</c:v>
                </c:pt>
                <c:pt idx="5">
                  <c:v>-0.31128658092858341</c:v>
                </c:pt>
                <c:pt idx="6">
                  <c:v>-0.28761908162251676</c:v>
                </c:pt>
                <c:pt idx="7">
                  <c:v>-0.26295923474244792</c:v>
                </c:pt>
                <c:pt idx="8">
                  <c:v>-0.2377738042711065</c:v>
                </c:pt>
                <c:pt idx="9">
                  <c:v>-0.21235654467269338</c:v>
                </c:pt>
                <c:pt idx="10">
                  <c:v>-0.18688760074705776</c:v>
                </c:pt>
                <c:pt idx="11">
                  <c:v>-0.16147365567718383</c:v>
                </c:pt>
                <c:pt idx="12">
                  <c:v>-0.13617524542145573</c:v>
                </c:pt>
                <c:pt idx="13">
                  <c:v>-0.11102516764428777</c:v>
                </c:pt>
                <c:pt idx="14">
                  <c:v>-8.604055140754692E-2</c:v>
                </c:pt>
                <c:pt idx="15">
                  <c:v>-6.1230407139391867E-2</c:v>
                </c:pt>
                <c:pt idx="16">
                  <c:v>-3.6600033041255649E-2</c:v>
                </c:pt>
                <c:pt idx="17">
                  <c:v>-1.2153342962289716E-2</c:v>
                </c:pt>
                <c:pt idx="18">
                  <c:v>1.21060777366123E-2</c:v>
                </c:pt>
                <c:pt idx="19">
                  <c:v>3.6174614278982095E-2</c:v>
                </c:pt>
                <c:pt idx="20">
                  <c:v>6.0048596255808676E-2</c:v>
                </c:pt>
                <c:pt idx="21">
                  <c:v>8.3724413007449705E-2</c:v>
                </c:pt>
                <c:pt idx="22">
                  <c:v>0.10719871623743668</c:v>
                </c:pt>
                <c:pt idx="23">
                  <c:v>0.13046873540846618</c:v>
                </c:pt>
                <c:pt idx="24">
                  <c:v>0.15353271853701694</c:v>
                </c:pt>
                <c:pt idx="25">
                  <c:v>0.17639032047015082</c:v>
                </c:pt>
                <c:pt idx="26">
                  <c:v>0.19904222340421893</c:v>
                </c:pt>
                <c:pt idx="27">
                  <c:v>0.2214870891598926</c:v>
                </c:pt>
                <c:pt idx="28">
                  <c:v>0.24371161824646145</c:v>
                </c:pt>
                <c:pt idx="29">
                  <c:v>0.26566527653510624</c:v>
                </c:pt>
                <c:pt idx="30">
                  <c:v>0.28720405699171275</c:v>
                </c:pt>
                <c:pt idx="31">
                  <c:v>0.30797595254327881</c:v>
                </c:pt>
                <c:pt idx="32">
                  <c:v>0.3272025772394393</c:v>
                </c:pt>
                <c:pt idx="33">
                  <c:v>0.34328389421554456</c:v>
                </c:pt>
                <c:pt idx="34">
                  <c:v>0.35311283292957568</c:v>
                </c:pt>
                <c:pt idx="35">
                  <c:v>0.35092934816269716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0688"/>
        <c:axId val="133211264"/>
      </c:scatterChart>
      <c:valAx>
        <c:axId val="133210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211264"/>
        <c:crossesAt val="-10000000000"/>
        <c:crossBetween val="midCat"/>
      </c:valAx>
      <c:valAx>
        <c:axId val="133211264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33210688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'Ciclagem5 BQF10'!$C$22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'Ciclagem5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'Ciclagem5 BQF10'!$C$23:$C$58</c:f>
              <c:numCache>
                <c:formatCode>0.0000000000E+00</c:formatCode>
                <c:ptCount val="36"/>
                <c:pt idx="0">
                  <c:v>-0.1388017454099183</c:v>
                </c:pt>
                <c:pt idx="1">
                  <c:v>-7.9997101069020152E-2</c:v>
                </c:pt>
                <c:pt idx="2">
                  <c:v>-4.4989074478537762E-2</c:v>
                </c:pt>
                <c:pt idx="3">
                  <c:v>-2.4324253964987129E-2</c:v>
                </c:pt>
                <c:pt idx="4">
                  <c:v>-1.2293182142659929E-2</c:v>
                </c:pt>
                <c:pt idx="5">
                  <c:v>-5.4614172990451321E-3</c:v>
                </c:pt>
                <c:pt idx="6">
                  <c:v>-1.7601820712610146E-3</c:v>
                </c:pt>
                <c:pt idx="7">
                  <c:v>6.5302836813750244E-5</c:v>
                </c:pt>
                <c:pt idx="8">
                  <c:v>7.8470835884241505E-4</c:v>
                </c:pt>
                <c:pt idx="9">
                  <c:v>8.7636654519889672E-4</c:v>
                </c:pt>
                <c:pt idx="10">
                  <c:v>6.4112875973630244E-4</c:v>
                </c:pt>
                <c:pt idx="11">
                  <c:v>2.6991997744756421E-4</c:v>
                </c:pt>
                <c:pt idx="12">
                  <c:v>-1.1527526767741831E-4</c:v>
                </c:pt>
                <c:pt idx="13">
                  <c:v>-4.3580107395130654E-4</c:v>
                </c:pt>
                <c:pt idx="14">
                  <c:v>-6.3990770627393571E-4</c:v>
                </c:pt>
                <c:pt idx="15">
                  <c:v>-6.9211572785872987E-4</c:v>
                </c:pt>
                <c:pt idx="16">
                  <c:v>-5.6642627977824015E-4</c:v>
                </c:pt>
                <c:pt idx="17">
                  <c:v>-2.4217772893177653E-4</c:v>
                </c:pt>
                <c:pt idx="18">
                  <c:v>2.9826551902013788E-4</c:v>
                </c:pt>
                <c:pt idx="19">
                  <c:v>1.0705725357647337E-3</c:v>
                </c:pt>
                <c:pt idx="20">
                  <c:v>2.0886537369552592E-3</c:v>
                </c:pt>
                <c:pt idx="21">
                  <c:v>3.3642467368697171E-3</c:v>
                </c:pt>
                <c:pt idx="22">
                  <c:v>4.905922337989462E-3</c:v>
                </c:pt>
                <c:pt idx="23">
                  <c:v>6.7173070228515857E-3</c:v>
                </c:pt>
                <c:pt idx="24">
                  <c:v>8.7939387268942976E-3</c:v>
                </c:pt>
                <c:pt idx="25">
                  <c:v>1.1117538652254103E-2</c:v>
                </c:pt>
                <c:pt idx="26">
                  <c:v>1.3645426537632607E-2</c:v>
                </c:pt>
                <c:pt idx="27">
                  <c:v>1.6291125371926288E-2</c:v>
                </c:pt>
                <c:pt idx="28">
                  <c:v>1.8889669415187466E-2</c:v>
                </c:pt>
                <c:pt idx="29">
                  <c:v>2.1137529689410101E-2</c:v>
                </c:pt>
                <c:pt idx="30">
                  <c:v>2.2492231857256073E-2</c:v>
                </c:pt>
                <c:pt idx="31">
                  <c:v>2.2010582335268793E-2</c:v>
                </c:pt>
                <c:pt idx="32">
                  <c:v>1.8097007345063715E-2</c:v>
                </c:pt>
                <c:pt idx="33">
                  <c:v>8.1251281323900196E-3</c:v>
                </c:pt>
                <c:pt idx="34">
                  <c:v>-1.2113084959759657E-2</c:v>
                </c:pt>
                <c:pt idx="35">
                  <c:v>-4.9184470589018044E-2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3568"/>
        <c:axId val="133214144"/>
      </c:scatterChart>
      <c:valAx>
        <c:axId val="13321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214144"/>
        <c:crossesAt val="-10000000000"/>
        <c:crossBetween val="midCat"/>
      </c:valAx>
      <c:valAx>
        <c:axId val="133214144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33213568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'Ciclagem4 BQF10'!$B$22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'Ciclagem4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'Ciclagem4 BQF10'!$B$23:$B$58</c:f>
              <c:numCache>
                <c:formatCode>0.0000000000E+00</c:formatCode>
                <c:ptCount val="36"/>
                <c:pt idx="0">
                  <c:v>-0.25855620593166057</c:v>
                </c:pt>
                <c:pt idx="1">
                  <c:v>-0.29323349045592023</c:v>
                </c:pt>
                <c:pt idx="2">
                  <c:v>-0.30491924178186902</c:v>
                </c:pt>
                <c:pt idx="3">
                  <c:v>-0.30230318486184687</c:v>
                </c:pt>
                <c:pt idx="4">
                  <c:v>-0.29096602398513938</c:v>
                </c:pt>
                <c:pt idx="5">
                  <c:v>-0.27442772548454786</c:v>
                </c:pt>
                <c:pt idx="6">
                  <c:v>-0.25487094506853281</c:v>
                </c:pt>
                <c:pt idx="7">
                  <c:v>-0.23362803875687863</c:v>
                </c:pt>
                <c:pt idx="8">
                  <c:v>-0.21150067256332125</c:v>
                </c:pt>
                <c:pt idx="9">
                  <c:v>-0.18896432253445683</c:v>
                </c:pt>
                <c:pt idx="10">
                  <c:v>-0.16629605896021976</c:v>
                </c:pt>
                <c:pt idx="11">
                  <c:v>-0.14365285972587472</c:v>
                </c:pt>
                <c:pt idx="12">
                  <c:v>-0.1211190767792449</c:v>
                </c:pt>
                <c:pt idx="13">
                  <c:v>-9.8735271974617525E-2</c:v>
                </c:pt>
                <c:pt idx="14">
                  <c:v>-7.6516079857797001E-2</c:v>
                </c:pt>
                <c:pt idx="15">
                  <c:v>-5.4461667984885442E-2</c:v>
                </c:pt>
                <c:pt idx="16">
                  <c:v>-3.2565389410120278E-2</c:v>
                </c:pt>
                <c:pt idx="17">
                  <c:v>-1.0819035425969377E-2</c:v>
                </c:pt>
                <c:pt idx="18">
                  <c:v>1.0783567576262162E-2</c:v>
                </c:pt>
                <c:pt idx="19">
                  <c:v>3.224421930081408E-2</c:v>
                </c:pt>
                <c:pt idx="20">
                  <c:v>5.355903482900054E-2</c:v>
                </c:pt>
                <c:pt idx="21">
                  <c:v>7.4718003292197535E-2</c:v>
                </c:pt>
                <c:pt idx="22">
                  <c:v>9.5705268030104901E-2</c:v>
                </c:pt>
                <c:pt idx="23">
                  <c:v>0.11649994119723386</c:v>
                </c:pt>
                <c:pt idx="24">
                  <c:v>0.1370771887935209</c:v>
                </c:pt>
                <c:pt idx="25">
                  <c:v>0.15740925493972477</c:v>
                </c:pt>
                <c:pt idx="26">
                  <c:v>0.17746616140885837</c:v>
                </c:pt>
                <c:pt idx="27">
                  <c:v>0.19721626958403252</c:v>
                </c:pt>
                <c:pt idx="28">
                  <c:v>0.2166281572350908</c:v>
                </c:pt>
                <c:pt idx="29">
                  <c:v>0.23567801480062719</c:v>
                </c:pt>
                <c:pt idx="30">
                  <c:v>0.25437199067648314</c:v>
                </c:pt>
                <c:pt idx="31">
                  <c:v>0.2728019868374828</c:v>
                </c:pt>
                <c:pt idx="32">
                  <c:v>0.29126817217417289</c:v>
                </c:pt>
                <c:pt idx="33">
                  <c:v>0.31052435192094668</c:v>
                </c:pt>
                <c:pt idx="34">
                  <c:v>0.3322363795337348</c:v>
                </c:pt>
                <c:pt idx="35">
                  <c:v>0.35979286065493121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46464"/>
        <c:axId val="147247040"/>
      </c:scatterChart>
      <c:valAx>
        <c:axId val="14724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247040"/>
        <c:crossesAt val="-10000000000"/>
        <c:crossBetween val="midCat"/>
      </c:valAx>
      <c:valAx>
        <c:axId val="147247040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47246464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'Ciclagem4 BQF10'!$C$22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'Ciclagem4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'Ciclagem4 BQF10'!$C$23:$C$58</c:f>
              <c:numCache>
                <c:formatCode>0.0000000000E+00</c:formatCode>
                <c:ptCount val="36"/>
                <c:pt idx="0">
                  <c:v>0.16984905854605706</c:v>
                </c:pt>
                <c:pt idx="1">
                  <c:v>0.10609733345382047</c:v>
                </c:pt>
                <c:pt idx="2">
                  <c:v>6.5571757505565181E-2</c:v>
                </c:pt>
                <c:pt idx="3">
                  <c:v>4.0053424624229707E-2</c:v>
                </c:pt>
                <c:pt idx="4">
                  <c:v>2.4069854853898148E-2</c:v>
                </c:pt>
                <c:pt idx="5">
                  <c:v>1.404645205305728E-2</c:v>
                </c:pt>
                <c:pt idx="6">
                  <c:v>7.7007802732759088E-3</c:v>
                </c:pt>
                <c:pt idx="7">
                  <c:v>3.6133701048684293E-3</c:v>
                </c:pt>
                <c:pt idx="8">
                  <c:v>9.2724164670514037E-4</c:v>
                </c:pt>
                <c:pt idx="9">
                  <c:v>-8.5879656692180745E-4</c:v>
                </c:pt>
                <c:pt idx="10">
                  <c:v>-2.0289698216044857E-3</c:v>
                </c:pt>
                <c:pt idx="11">
                  <c:v>-2.740895203876131E-3</c:v>
                </c:pt>
                <c:pt idx="12">
                  <c:v>-3.0820978460089996E-3</c:v>
                </c:pt>
                <c:pt idx="13">
                  <c:v>-3.103639150676045E-3</c:v>
                </c:pt>
                <c:pt idx="14">
                  <c:v>-2.8389181903284832E-3</c:v>
                </c:pt>
                <c:pt idx="15">
                  <c:v>-2.3133950080431124E-3</c:v>
                </c:pt>
                <c:pt idx="16">
                  <c:v>-1.5491491575290899E-3</c:v>
                </c:pt>
                <c:pt idx="17">
                  <c:v>-5.6677397177427467E-4</c:v>
                </c:pt>
                <c:pt idx="18">
                  <c:v>6.1392167199438041E-4</c:v>
                </c:pt>
                <c:pt idx="19">
                  <c:v>1.9736189966245076E-3</c:v>
                </c:pt>
                <c:pt idx="20">
                  <c:v>3.493214912250059E-3</c:v>
                </c:pt>
                <c:pt idx="21">
                  <c:v>5.1533473285583341E-3</c:v>
                </c:pt>
                <c:pt idx="22">
                  <c:v>6.9334833832911079E-3</c:v>
                </c:pt>
                <c:pt idx="23">
                  <c:v>8.8101374486928702E-3</c:v>
                </c:pt>
                <c:pt idx="24">
                  <c:v>1.0753328533396261E-2</c:v>
                </c:pt>
                <c:pt idx="25">
                  <c:v>1.2719446721271338E-2</c:v>
                </c:pt>
                <c:pt idx="26">
                  <c:v>1.4636845234851214E-2</c:v>
                </c:pt>
                <c:pt idx="27">
                  <c:v>1.6376989290038696E-2</c:v>
                </c:pt>
                <c:pt idx="28">
                  <c:v>1.76977739503212E-2</c:v>
                </c:pt>
                <c:pt idx="29">
                  <c:v>1.8135082176775244E-2</c:v>
                </c:pt>
                <c:pt idx="30">
                  <c:v>1.6801597354617271E-2</c:v>
                </c:pt>
                <c:pt idx="31">
                  <c:v>1.2025382059657252E-2</c:v>
                </c:pt>
                <c:pt idx="32">
                  <c:v>7.2097812317792049E-4</c:v>
                </c:pt>
                <c:pt idx="33">
                  <c:v>-2.2672070875485534E-2</c:v>
                </c:pt>
                <c:pt idx="34">
                  <c:v>-6.7930370290715206E-2</c:v>
                </c:pt>
                <c:pt idx="35">
                  <c:v>-0.1518281621348794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140992"/>
        <c:axId val="126141568"/>
      </c:scatterChart>
      <c:valAx>
        <c:axId val="12614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6141568"/>
        <c:crossesAt val="-10000000000"/>
        <c:crossBetween val="midCat"/>
      </c:valAx>
      <c:valAx>
        <c:axId val="126141568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26140992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'Ciclagem3 BQF10 (2)'!$B$22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'Ciclagem3 BQF10 (2)'!$A$23:$A$58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'Ciclagem3 BQF10 (2)'!$B$23:$B$58</c:f>
              <c:numCache>
                <c:formatCode>0.0000000000E+00</c:formatCode>
                <c:ptCount val="36"/>
                <c:pt idx="0">
                  <c:v>-0.42184027281036696</c:v>
                </c:pt>
                <c:pt idx="1">
                  <c:v>-0.40000926084038324</c:v>
                </c:pt>
                <c:pt idx="2">
                  <c:v>-0.37618003329300653</c:v>
                </c:pt>
                <c:pt idx="3">
                  <c:v>-0.35119675642129694</c:v>
                </c:pt>
                <c:pt idx="4">
                  <c:v>-0.3256349941182104</c:v>
                </c:pt>
                <c:pt idx="5">
                  <c:v>-0.29988459461603323</c:v>
                </c:pt>
                <c:pt idx="6">
                  <c:v>-0.27420026397118213</c:v>
                </c:pt>
                <c:pt idx="7">
                  <c:v>-0.24873697287063612</c:v>
                </c:pt>
                <c:pt idx="8">
                  <c:v>-0.22357777071577958</c:v>
                </c:pt>
                <c:pt idx="9">
                  <c:v>-0.19875666325867275</c:v>
                </c:pt>
                <c:pt idx="10">
                  <c:v>-0.17427711885268032</c:v>
                </c:pt>
                <c:pt idx="11">
                  <c:v>-0.15012622100358822</c:v>
                </c:pt>
                <c:pt idx="12">
                  <c:v>-0.1262846336002845</c:v>
                </c:pt>
                <c:pt idx="13">
                  <c:v>-0.10273287767675278</c:v>
                </c:pt>
                <c:pt idx="14">
                  <c:v>-7.9454670174893743E-2</c:v>
                </c:pt>
                <c:pt idx="15">
                  <c:v>-5.6438152692668914E-2</c:v>
                </c:pt>
                <c:pt idx="16">
                  <c:v>-3.3675755042711489E-2</c:v>
                </c:pt>
                <c:pt idx="17">
                  <c:v>-1.1163261564726292E-2</c:v>
                </c:pt>
                <c:pt idx="18">
                  <c:v>1.1101543589735389E-2</c:v>
                </c:pt>
                <c:pt idx="19">
                  <c:v>3.3120421780190597E-2</c:v>
                </c:pt>
                <c:pt idx="20">
                  <c:v>5.4896261082974199E-2</c:v>
                </c:pt>
                <c:pt idx="21">
                  <c:v>7.6434563584098225E-2</c:v>
                </c:pt>
                <c:pt idx="22">
                  <c:v>9.7744741345634115E-2</c:v>
                </c:pt>
                <c:pt idx="23">
                  <c:v>0.11884124437636504</c:v>
                </c:pt>
                <c:pt idx="24">
                  <c:v>0.13974482889492623</c:v>
                </c:pt>
                <c:pt idx="25">
                  <c:v>0.1604847548311511</c:v>
                </c:pt>
                <c:pt idx="26">
                  <c:v>0.18110331412851949</c:v>
                </c:pt>
                <c:pt idx="27">
                  <c:v>0.20166461459936966</c:v>
                </c:pt>
                <c:pt idx="28">
                  <c:v>0.22226952483116186</c:v>
                </c:pt>
                <c:pt idx="29">
                  <c:v>0.24307735377197998</c:v>
                </c:pt>
                <c:pt idx="30">
                  <c:v>0.26433100970862589</c:v>
                </c:pt>
                <c:pt idx="31">
                  <c:v>0.28637435005969802</c:v>
                </c:pt>
                <c:pt idx="32">
                  <c:v>0.30963584529692662</c:v>
                </c:pt>
                <c:pt idx="33">
                  <c:v>0.33452841206343725</c:v>
                </c:pt>
                <c:pt idx="34">
                  <c:v>0.36117727866292604</c:v>
                </c:pt>
                <c:pt idx="35">
                  <c:v>0.38883091395773811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49920"/>
        <c:axId val="147250496"/>
      </c:scatterChart>
      <c:valAx>
        <c:axId val="14724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250496"/>
        <c:crossesAt val="-10000000000"/>
        <c:crossBetween val="midCat"/>
      </c:valAx>
      <c:valAx>
        <c:axId val="147250496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47249920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'Ciclagem3 BQF10 (2)'!$C$22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'Ciclagem3 BQF10 (2)'!$A$23:$A$58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'Ciclagem3 BQF10 (2)'!$C$23:$C$58</c:f>
              <c:numCache>
                <c:formatCode>0.0000000000E+00</c:formatCode>
                <c:ptCount val="36"/>
                <c:pt idx="0">
                  <c:v>0.11948022453696612</c:v>
                </c:pt>
                <c:pt idx="1">
                  <c:v>5.5690121030269317E-2</c:v>
                </c:pt>
                <c:pt idx="2">
                  <c:v>1.988335373092235E-2</c:v>
                </c:pt>
                <c:pt idx="3">
                  <c:v>5.5823015553982814E-4</c:v>
                </c:pt>
                <c:pt idx="4">
                  <c:v>-9.2378648407489151E-3</c:v>
                </c:pt>
                <c:pt idx="5">
                  <c:v>-1.3649489843376097E-2</c:v>
                </c:pt>
                <c:pt idx="6">
                  <c:v>-1.5108504067680079E-2</c:v>
                </c:pt>
                <c:pt idx="7">
                  <c:v>-1.5014022732079437E-2</c:v>
                </c:pt>
                <c:pt idx="8">
                  <c:v>-1.4149548690004808E-2</c:v>
                </c:pt>
                <c:pt idx="9">
                  <c:v>-1.2936313532526828E-2</c:v>
                </c:pt>
                <c:pt idx="10">
                  <c:v>-1.1585826748465358E-2</c:v>
                </c:pt>
                <c:pt idx="11">
                  <c:v>-1.0190982645160126E-2</c:v>
                </c:pt>
                <c:pt idx="12">
                  <c:v>-8.7799411936018666E-3</c:v>
                </c:pt>
                <c:pt idx="13">
                  <c:v>-7.347537288919989E-3</c:v>
                </c:pt>
                <c:pt idx="14">
                  <c:v>-5.8731621991236259E-3</c:v>
                </c:pt>
                <c:pt idx="15">
                  <c:v>-4.3305213334556957E-3</c:v>
                </c:pt>
                <c:pt idx="16">
                  <c:v>-2.6925063456745874E-3</c:v>
                </c:pt>
                <c:pt idx="17">
                  <c:v>-9.3307588963499437E-4</c:v>
                </c:pt>
                <c:pt idx="18">
                  <c:v>9.7279965842583848E-4</c:v>
                </c:pt>
                <c:pt idx="19">
                  <c:v>3.0505830788813549E-3</c:v>
                </c:pt>
                <c:pt idx="20">
                  <c:v>5.3287359561413322E-3</c:v>
                </c:pt>
                <c:pt idx="21">
                  <c:v>7.8422502657033277E-3</c:v>
                </c:pt>
                <c:pt idx="22">
                  <c:v>1.0636999783699174E-2</c:v>
                </c:pt>
                <c:pt idx="23">
                  <c:v>1.3774716478596682E-2</c:v>
                </c:pt>
                <c:pt idx="24">
                  <c:v>1.7338304414995693E-2</c:v>
                </c:pt>
                <c:pt idx="25">
                  <c:v>2.1436999654793801E-2</c:v>
                </c:pt>
                <c:pt idx="26">
                  <c:v>2.6210351104585285E-2</c:v>
                </c:pt>
                <c:pt idx="27">
                  <c:v>3.1828673229373293E-2</c:v>
                </c:pt>
                <c:pt idx="28">
                  <c:v>3.8484687927762939E-2</c:v>
                </c:pt>
                <c:pt idx="29">
                  <c:v>4.6365214432675605E-2</c:v>
                </c:pt>
                <c:pt idx="30">
                  <c:v>5.5581010720811383E-2</c:v>
                </c:pt>
                <c:pt idx="31">
                  <c:v>6.601440485578422E-2</c:v>
                </c:pt>
                <c:pt idx="32">
                  <c:v>7.7014320167129113E-2</c:v>
                </c:pt>
                <c:pt idx="33">
                  <c:v>8.6821558035471258E-2</c:v>
                </c:pt>
                <c:pt idx="34">
                  <c:v>9.1537091687918945E-2</c:v>
                </c:pt>
                <c:pt idx="35">
                  <c:v>8.3344175755250507E-2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50624"/>
        <c:axId val="97051200"/>
      </c:scatterChart>
      <c:valAx>
        <c:axId val="9705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7051200"/>
        <c:crossesAt val="-10000000000"/>
        <c:crossBetween val="midCat"/>
      </c:valAx>
      <c:valAx>
        <c:axId val="97051200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97050624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'Ciclagem3 BQF10'!$B$22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'Ciclagem3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'Ciclagem3 BQF10'!$B$23:$B$58</c:f>
              <c:numCache>
                <c:formatCode>0.0000000000E+00</c:formatCode>
                <c:ptCount val="36"/>
                <c:pt idx="0">
                  <c:v>-0.38598344032560467</c:v>
                </c:pt>
                <c:pt idx="1">
                  <c:v>-0.37891227640487096</c:v>
                </c:pt>
                <c:pt idx="2">
                  <c:v>-0.36231813401487295</c:v>
                </c:pt>
                <c:pt idx="3">
                  <c:v>-0.3410970042835213</c:v>
                </c:pt>
                <c:pt idx="4">
                  <c:v>-0.31777208964276638</c:v>
                </c:pt>
                <c:pt idx="5">
                  <c:v>-0.29359171982884946</c:v>
                </c:pt>
                <c:pt idx="6">
                  <c:v>-0.26914815960636623</c:v>
                </c:pt>
                <c:pt idx="7">
                  <c:v>-0.24471138437994872</c:v>
                </c:pt>
                <c:pt idx="8">
                  <c:v>-0.22040050963110361</c:v>
                </c:pt>
                <c:pt idx="9">
                  <c:v>-0.19626731431531447</c:v>
                </c:pt>
                <c:pt idx="10">
                  <c:v>-0.1723348504404463</c:v>
                </c:pt>
                <c:pt idx="11">
                  <c:v>-0.14861451558082442</c:v>
                </c:pt>
                <c:pt idx="12">
                  <c:v>-0.12511338573241979</c:v>
                </c:pt>
                <c:pt idx="13">
                  <c:v>-0.1018372406162394</c:v>
                </c:pt>
                <c:pt idx="14">
                  <c:v>-7.8791536770452128E-2</c:v>
                </c:pt>
                <c:pt idx="15">
                  <c:v>-5.5981205986714341E-2</c:v>
                </c:pt>
                <c:pt idx="16">
                  <c:v>-3.3409680815684462E-2</c:v>
                </c:pt>
                <c:pt idx="17">
                  <c:v>-1.1077444176563346E-2</c:v>
                </c:pt>
                <c:pt idx="18">
                  <c:v>1.1019607222158256E-2</c:v>
                </c:pt>
                <c:pt idx="19">
                  <c:v>3.2891714691780941E-2</c:v>
                </c:pt>
                <c:pt idx="20">
                  <c:v>5.4556502507611869E-2</c:v>
                </c:pt>
                <c:pt idx="21">
                  <c:v>7.603975925450572E-2</c:v>
                </c:pt>
                <c:pt idx="22">
                  <c:v>9.7375675401244755E-2</c:v>
                </c:pt>
                <c:pt idx="23">
                  <c:v>0.11860657122373412</c:v>
                </c:pt>
                <c:pt idx="24">
                  <c:v>0.13978236594732443</c:v>
                </c:pt>
                <c:pt idx="25">
                  <c:v>0.16096045034417805</c:v>
                </c:pt>
                <c:pt idx="26">
                  <c:v>0.1822073226906257</c:v>
                </c:pt>
                <c:pt idx="27">
                  <c:v>0.20360437814646198</c:v>
                </c:pt>
                <c:pt idx="28">
                  <c:v>0.22526154277511903</c:v>
                </c:pt>
                <c:pt idx="29">
                  <c:v>0.24734376711671349</c:v>
                </c:pt>
                <c:pt idx="30">
                  <c:v>0.27011620857730972</c:v>
                </c:pt>
                <c:pt idx="31">
                  <c:v>0.29401330804329612</c:v>
                </c:pt>
                <c:pt idx="32">
                  <c:v>0.31973344751222643</c:v>
                </c:pt>
                <c:pt idx="33">
                  <c:v>0.34835233005881389</c:v>
                </c:pt>
                <c:pt idx="34">
                  <c:v>0.38143167852433502</c:v>
                </c:pt>
                <c:pt idx="35">
                  <c:v>0.42107130970568962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38048"/>
        <c:axId val="137938624"/>
      </c:scatterChart>
      <c:valAx>
        <c:axId val="13793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938624"/>
        <c:crossesAt val="-10000000000"/>
        <c:crossBetween val="midCat"/>
      </c:valAx>
      <c:valAx>
        <c:axId val="137938624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37938048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'Ciclagem3 BQF10'!$C$22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'Ciclagem3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'Ciclagem3 BQF10'!$C$23:$C$58</c:f>
              <c:numCache>
                <c:formatCode>0.0000000000E+00</c:formatCode>
                <c:ptCount val="36"/>
                <c:pt idx="0">
                  <c:v>0.22308826665916226</c:v>
                </c:pt>
                <c:pt idx="1">
                  <c:v>0.12463404490114398</c:v>
                </c:pt>
                <c:pt idx="2">
                  <c:v>6.7931223853912912E-2</c:v>
                </c:pt>
                <c:pt idx="3">
                  <c:v>3.5518199843264195E-2</c:v>
                </c:pt>
                <c:pt idx="4">
                  <c:v>1.7063562812770144E-2</c:v>
                </c:pt>
                <c:pt idx="5">
                  <c:v>6.5587047305376888E-3</c:v>
                </c:pt>
                <c:pt idx="6">
                  <c:v>5.6792658472215932E-4</c:v>
                </c:pt>
                <c:pt idx="7">
                  <c:v>-2.8410501335195586E-3</c:v>
                </c:pt>
                <c:pt idx="8">
                  <c:v>-4.7382338016075751E-3</c:v>
                </c:pt>
                <c:pt idx="9">
                  <c:v>-5.708704314158191E-3</c:v>
                </c:pt>
                <c:pt idx="10">
                  <c:v>-6.0708727745016631E-3</c:v>
                </c:pt>
                <c:pt idx="11">
                  <c:v>-6.0006262791282078E-3</c:v>
                </c:pt>
                <c:pt idx="12">
                  <c:v>-5.6006659609491097E-3</c:v>
                </c:pt>
                <c:pt idx="13">
                  <c:v>-4.9383056734886455E-3</c:v>
                </c:pt>
                <c:pt idx="14">
                  <c:v>-4.0652890334084441E-3</c:v>
                </c:pt>
                <c:pt idx="15">
                  <c:v>-3.0274753411740096E-3</c:v>
                </c:pt>
                <c:pt idx="16">
                  <c:v>-1.8689586332341233E-3</c:v>
                </c:pt>
                <c:pt idx="17">
                  <c:v>-6.3329935758170495E-4</c:v>
                </c:pt>
                <c:pt idx="18">
                  <c:v>6.3655120746775365E-4</c:v>
                </c:pt>
                <c:pt idx="19">
                  <c:v>1.8987130505280572E-3</c:v>
                </c:pt>
                <c:pt idx="20">
                  <c:v>3.1127057479801643E-3</c:v>
                </c:pt>
                <c:pt idx="21">
                  <c:v>4.2393611386994197E-3</c:v>
                </c:pt>
                <c:pt idx="22">
                  <c:v>5.2401815986119005E-3</c:v>
                </c:pt>
                <c:pt idx="23">
                  <c:v>6.0761172642097468E-3</c:v>
                </c:pt>
                <c:pt idx="24">
                  <c:v>6.7058800715607512E-3</c:v>
                </c:pt>
                <c:pt idx="25">
                  <c:v>7.0841273162009994E-3</c:v>
                </c:pt>
                <c:pt idx="26">
                  <c:v>7.1600941287760893E-3</c:v>
                </c:pt>
                <c:pt idx="27">
                  <c:v>6.8773408866804634E-3</c:v>
                </c:pt>
                <c:pt idx="28">
                  <c:v>6.1747595115896467E-3</c:v>
                </c:pt>
                <c:pt idx="29">
                  <c:v>4.9870170078698392E-3</c:v>
                </c:pt>
                <c:pt idx="30">
                  <c:v>3.2378287639471368E-3</c:v>
                </c:pt>
                <c:pt idx="31">
                  <c:v>8.097475751183093E-4</c:v>
                </c:pt>
                <c:pt idx="32">
                  <c:v>-2.5435053218445039E-3</c:v>
                </c:pt>
                <c:pt idx="33">
                  <c:v>-7.4059522486197875E-3</c:v>
                </c:pt>
                <c:pt idx="34">
                  <c:v>-1.5140887441809659E-2</c:v>
                </c:pt>
                <c:pt idx="35">
                  <c:v>-2.8749099003070509E-2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96512"/>
        <c:axId val="138901120"/>
      </c:scatterChart>
      <c:valAx>
        <c:axId val="13889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901120"/>
        <c:crossesAt val="-10000000000"/>
        <c:crossBetween val="midCat"/>
      </c:valAx>
      <c:valAx>
        <c:axId val="138901120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38896512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'Original - Ciclagem1 BQF10 (3)'!$B$22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'Original - Ciclagem1 BQF10 (3)'!$A$23:$A$58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'Original - Ciclagem1 BQF10 (3)'!$B$23:$B$58</c:f>
              <c:numCache>
                <c:formatCode>0.0000000000E+00</c:formatCode>
                <c:ptCount val="36"/>
                <c:pt idx="0">
                  <c:v>-0.64025129776605405</c:v>
                </c:pt>
                <c:pt idx="1">
                  <c:v>-0.50476034156107052</c:v>
                </c:pt>
                <c:pt idx="2">
                  <c:v>-0.41733597125294503</c:v>
                </c:pt>
                <c:pt idx="3">
                  <c:v>-0.35802735839560457</c:v>
                </c:pt>
                <c:pt idx="4">
                  <c:v>-0.31490164577302904</c:v>
                </c:pt>
                <c:pt idx="5">
                  <c:v>-0.28097435043377017</c:v>
                </c:pt>
                <c:pt idx="6">
                  <c:v>-0.25224409028515887</c:v>
                </c:pt>
                <c:pt idx="7">
                  <c:v>-0.22646443708536684</c:v>
                </c:pt>
                <c:pt idx="8">
                  <c:v>-0.20239617036852625</c:v>
                </c:pt>
                <c:pt idx="9">
                  <c:v>-0.17936446430277392</c:v>
                </c:pt>
                <c:pt idx="10">
                  <c:v>-0.15700409049788705</c:v>
                </c:pt>
                <c:pt idx="11">
                  <c:v>-0.1351169336389163</c:v>
                </c:pt>
                <c:pt idx="12">
                  <c:v>-0.11359436127069553</c:v>
                </c:pt>
                <c:pt idx="13">
                  <c:v>-9.2375759163259741E-2</c:v>
                </c:pt>
                <c:pt idx="14">
                  <c:v>-7.1426582625716911E-2</c:v>
                </c:pt>
                <c:pt idx="15">
                  <c:v>-5.0726685893572501E-2</c:v>
                </c:pt>
                <c:pt idx="16">
                  <c:v>-3.0264045713838686E-2</c:v>
                </c:pt>
                <c:pt idx="17">
                  <c:v>-1.0031422890885735E-2</c:v>
                </c:pt>
                <c:pt idx="18">
                  <c:v>9.9752113337687066E-3</c:v>
                </c:pt>
                <c:pt idx="19">
                  <c:v>2.9757005967463022E-2</c:v>
                </c:pt>
                <c:pt idx="20">
                  <c:v>4.9311504819473828E-2</c:v>
                </c:pt>
                <c:pt idx="21">
                  <c:v>6.8630849673886579E-2</c:v>
                </c:pt>
                <c:pt idx="22">
                  <c:v>8.7698721299915072E-2</c:v>
                </c:pt>
                <c:pt idx="23">
                  <c:v>0.10648560045004458</c:v>
                </c:pt>
                <c:pt idx="24">
                  <c:v>0.1249415628713684</c:v>
                </c:pt>
                <c:pt idx="25">
                  <c:v>0.14298518027878668</c:v>
                </c:pt>
                <c:pt idx="26">
                  <c:v>0.16048598314063375</c:v>
                </c:pt>
                <c:pt idx="27">
                  <c:v>0.17723606803664682</c:v>
                </c:pt>
                <c:pt idx="28">
                  <c:v>0.19290342874823896</c:v>
                </c:pt>
                <c:pt idx="29">
                  <c:v>0.20695499250676322</c:v>
                </c:pt>
                <c:pt idx="30">
                  <c:v>0.21853060574248967</c:v>
                </c:pt>
                <c:pt idx="31">
                  <c:v>0.22623972704203246</c:v>
                </c:pt>
                <c:pt idx="32">
                  <c:v>0.22783969832463136</c:v>
                </c:pt>
                <c:pt idx="33">
                  <c:v>0.21973752043420619</c:v>
                </c:pt>
                <c:pt idx="34">
                  <c:v>0.1962354316621186</c:v>
                </c:pt>
                <c:pt idx="35">
                  <c:v>0.14841373464085306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130368"/>
        <c:axId val="126130944"/>
      </c:scatterChart>
      <c:valAx>
        <c:axId val="12613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6130944"/>
        <c:crossesAt val="-10000000000"/>
        <c:crossBetween val="midCat"/>
      </c:valAx>
      <c:valAx>
        <c:axId val="126130944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26130368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'Original - Ciclagem1 BQF10 (3)'!$C$22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'Original - Ciclagem1 BQF10 (3)'!$A$23:$A$58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'Original - Ciclagem1 BQF10 (3)'!$C$23:$C$58</c:f>
              <c:numCache>
                <c:formatCode>0.0000000000E+00</c:formatCode>
                <c:ptCount val="36"/>
                <c:pt idx="0">
                  <c:v>-1.0657217960564245E-2</c:v>
                </c:pt>
                <c:pt idx="1">
                  <c:v>1.0767763514036419E-2</c:v>
                </c:pt>
                <c:pt idx="2">
                  <c:v>1.6980608655482784E-2</c:v>
                </c:pt>
                <c:pt idx="3">
                  <c:v>1.6379175710985634E-2</c:v>
                </c:pt>
                <c:pt idx="4">
                  <c:v>1.3221076217595501E-2</c:v>
                </c:pt>
                <c:pt idx="5">
                  <c:v>9.5162317534243229E-3</c:v>
                </c:pt>
                <c:pt idx="6">
                  <c:v>6.1149681909163315E-3</c:v>
                </c:pt>
                <c:pt idx="7">
                  <c:v>3.3067433951769662E-3</c:v>
                </c:pt>
                <c:pt idx="8">
                  <c:v>1.132796543361724E-3</c:v>
                </c:pt>
                <c:pt idx="9">
                  <c:v>-4.6076914125749765E-4</c:v>
                </c:pt>
                <c:pt idx="10">
                  <c:v>-1.5540273017678916E-3</c:v>
                </c:pt>
                <c:pt idx="11">
                  <c:v>-2.2256525321929788E-3</c:v>
                </c:pt>
                <c:pt idx="12">
                  <c:v>-2.5439829303754119E-3</c:v>
                </c:pt>
                <c:pt idx="13">
                  <c:v>-2.5655202116055056E-3</c:v>
                </c:pt>
                <c:pt idx="14">
                  <c:v>-2.3358596847496233E-3</c:v>
                </c:pt>
                <c:pt idx="15">
                  <c:v>-1.8910598993806642E-3</c:v>
                </c:pt>
                <c:pt idx="16">
                  <c:v>-1.2587539694632721E-3</c:v>
                </c:pt>
                <c:pt idx="17">
                  <c:v>-4.5877456248743842E-4</c:v>
                </c:pt>
                <c:pt idx="18">
                  <c:v>4.967795107408058E-4</c:v>
                </c:pt>
                <c:pt idx="19">
                  <c:v>1.6040244432334308E-3</c:v>
                </c:pt>
                <c:pt idx="20">
                  <c:v>2.8682239426910034E-3</c:v>
                </c:pt>
                <c:pt idx="21">
                  <c:v>4.3049985247033745E-3</c:v>
                </c:pt>
                <c:pt idx="22">
                  <c:v>5.9416103666555418E-3</c:v>
                </c:pt>
                <c:pt idx="23">
                  <c:v>7.8181967808695508E-3</c:v>
                </c:pt>
                <c:pt idx="24">
                  <c:v>9.9890517299673232E-3</c:v>
                </c:pt>
                <c:pt idx="25">
                  <c:v>1.2524507573322343E-2</c:v>
                </c:pt>
                <c:pt idx="26">
                  <c:v>1.551479202980635E-2</c:v>
                </c:pt>
                <c:pt idx="27">
                  <c:v>1.9078712085476884E-2</c:v>
                </c:pt>
                <c:pt idx="28">
                  <c:v>2.3382667262411481E-2</c:v>
                </c:pt>
                <c:pt idx="29">
                  <c:v>2.8680195983760676E-2</c:v>
                </c:pt>
                <c:pt idx="30">
                  <c:v>3.5390389524431708E-2</c:v>
                </c:pt>
                <c:pt idx="31">
                  <c:v>4.4247119391641027E-2</c:v>
                </c:pt>
                <c:pt idx="32">
                  <c:v>5.6573034521624585E-2</c:v>
                </c:pt>
                <c:pt idx="33">
                  <c:v>7.4766700294460836E-2</c:v>
                </c:pt>
                <c:pt idx="34">
                  <c:v>0.1031434099392374</c:v>
                </c:pt>
                <c:pt idx="35">
                  <c:v>0.14934703981426656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03072"/>
        <c:axId val="133203648"/>
      </c:scatterChart>
      <c:valAx>
        <c:axId val="13320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203648"/>
        <c:crossesAt val="-10000000000"/>
        <c:crossBetween val="midCat"/>
      </c:valAx>
      <c:valAx>
        <c:axId val="133203648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33203072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'Ciclagem2 BQF10 (2)'!$B$22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'Ciclagem2 BQF10 (2)'!$A$23:$A$58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'Ciclagem2 BQF10 (2)'!$B$23:$B$58</c:f>
              <c:numCache>
                <c:formatCode>0.0000000000E+00</c:formatCode>
                <c:ptCount val="36"/>
                <c:pt idx="0">
                  <c:v>-0.22883619616445877</c:v>
                </c:pt>
                <c:pt idx="1">
                  <c:v>-0.21522670631039886</c:v>
                </c:pt>
                <c:pt idx="2">
                  <c:v>-0.20373316187443022</c:v>
                </c:pt>
                <c:pt idx="3">
                  <c:v>-0.19242509533769844</c:v>
                </c:pt>
                <c:pt idx="4">
                  <c:v>-0.18063548730707707</c:v>
                </c:pt>
                <c:pt idx="5">
                  <c:v>-0.16825003713261438</c:v>
                </c:pt>
                <c:pt idx="6">
                  <c:v>-0.15535651027229291</c:v>
                </c:pt>
                <c:pt idx="7">
                  <c:v>-0.14208939877204865</c:v>
                </c:pt>
                <c:pt idx="8">
                  <c:v>-0.12857244466072448</c:v>
                </c:pt>
                <c:pt idx="9">
                  <c:v>-0.11490481749076063</c:v>
                </c:pt>
                <c:pt idx="10">
                  <c:v>-0.1011632046576821</c:v>
                </c:pt>
                <c:pt idx="11">
                  <c:v>-8.740728931457889E-2</c:v>
                </c:pt>
                <c:pt idx="12">
                  <c:v>-7.3684114795489114E-2</c:v>
                </c:pt>
                <c:pt idx="13">
                  <c:v>-6.003054331933512E-2</c:v>
                </c:pt>
                <c:pt idx="14">
                  <c:v>-4.6474356210538949E-2</c:v>
                </c:pt>
                <c:pt idx="15">
                  <c:v>-3.3034748982951966E-2</c:v>
                </c:pt>
                <c:pt idx="16">
                  <c:v>-1.9722764715244943E-2</c:v>
                </c:pt>
                <c:pt idx="17">
                  <c:v>-6.5419428039398091E-3</c:v>
                </c:pt>
                <c:pt idx="18">
                  <c:v>6.5107298024753872E-3</c:v>
                </c:pt>
                <c:pt idx="19">
                  <c:v>1.9443584650095543E-2</c:v>
                </c:pt>
                <c:pt idx="20">
                  <c:v>3.2268847182063867E-2</c:v>
                </c:pt>
                <c:pt idx="21">
                  <c:v>4.5001214622097753E-2</c:v>
                </c:pt>
                <c:pt idx="22">
                  <c:v>5.7656826757023945E-2</c:v>
                </c:pt>
                <c:pt idx="23">
                  <c:v>7.0253404891433668E-2</c:v>
                </c:pt>
                <c:pt idx="24">
                  <c:v>8.2813071490143234E-2</c:v>
                </c:pt>
                <c:pt idx="25">
                  <c:v>9.5370770775716165E-2</c:v>
                </c:pt>
                <c:pt idx="26">
                  <c:v>0.10799387011610355</c:v>
                </c:pt>
                <c:pt idx="27">
                  <c:v>0.1208234179017576</c:v>
                </c:pt>
                <c:pt idx="28">
                  <c:v>0.13415622351121809</c:v>
                </c:pt>
                <c:pt idx="29">
                  <c:v>0.148601740080436</c:v>
                </c:pt>
                <c:pt idx="30">
                  <c:v>0.16537200602967109</c:v>
                </c:pt>
                <c:pt idx="31">
                  <c:v>0.18680123567305842</c:v>
                </c:pt>
                <c:pt idx="32">
                  <c:v>0.21725019633341533</c:v>
                </c:pt>
                <c:pt idx="33">
                  <c:v>0.26463729796192975</c:v>
                </c:pt>
                <c:pt idx="34">
                  <c:v>0.34296360590717773</c:v>
                </c:pt>
                <c:pt idx="35">
                  <c:v>0.47637562938652384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12544"/>
        <c:axId val="97013120"/>
      </c:scatterChart>
      <c:valAx>
        <c:axId val="9701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7013120"/>
        <c:crossesAt val="-10000000000"/>
        <c:crossBetween val="midCat"/>
      </c:valAx>
      <c:valAx>
        <c:axId val="97013120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97012544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'Ciclagem2 BQF10 (2)'!$C$22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'Ciclagem2 BQF10 (2)'!$A$23:$A$58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'Ciclagem2 BQF10 (2)'!$C$23:$C$58</c:f>
              <c:numCache>
                <c:formatCode>0.0000000000E+00</c:formatCode>
                <c:ptCount val="36"/>
                <c:pt idx="0">
                  <c:v>-3.9140647445066304E-2</c:v>
                </c:pt>
                <c:pt idx="1">
                  <c:v>-5.4456221817203547E-2</c:v>
                </c:pt>
                <c:pt idx="2">
                  <c:v>-5.6801872508346618E-2</c:v>
                </c:pt>
                <c:pt idx="3">
                  <c:v>-5.3191252452354155E-2</c:v>
                </c:pt>
                <c:pt idx="4">
                  <c:v>-4.7355229651673568E-2</c:v>
                </c:pt>
                <c:pt idx="5">
                  <c:v>-4.1131983601602508E-2</c:v>
                </c:pt>
                <c:pt idx="6">
                  <c:v>-3.5318378357596068E-2</c:v>
                </c:pt>
                <c:pt idx="7">
                  <c:v>-3.017329129880476E-2</c:v>
                </c:pt>
                <c:pt idx="8">
                  <c:v>-2.570279601953096E-2</c:v>
                </c:pt>
                <c:pt idx="9">
                  <c:v>-2.1813271637166336E-2</c:v>
                </c:pt>
                <c:pt idx="10">
                  <c:v>-1.8387700191504281E-2</c:v>
                </c:pt>
                <c:pt idx="11">
                  <c:v>-1.5319378521437416E-2</c:v>
                </c:pt>
                <c:pt idx="12">
                  <c:v>-1.2523390250581655E-2</c:v>
                </c:pt>
                <c:pt idx="13">
                  <c:v>-9.9373799684429158E-3</c:v>
                </c:pt>
                <c:pt idx="14">
                  <c:v>-7.5178389313467374E-3</c:v>
                </c:pt>
                <c:pt idx="15">
                  <c:v>-5.2350449118339863E-3</c:v>
                </c:pt>
                <c:pt idx="16">
                  <c:v>-3.0681293869658493E-3</c:v>
                </c:pt>
                <c:pt idx="17">
                  <c:v>-1.0008777471992379E-3</c:v>
                </c:pt>
                <c:pt idx="18">
                  <c:v>9.8157826077618178E-4</c:v>
                </c:pt>
                <c:pt idx="19">
                  <c:v>2.8952641836360485E-3</c:v>
                </c:pt>
                <c:pt idx="20">
                  <c:v>4.7593151569746764E-3</c:v>
                </c:pt>
                <c:pt idx="21">
                  <c:v>6.5977683339689648E-3</c:v>
                </c:pt>
                <c:pt idx="22">
                  <c:v>8.4417465154046373E-3</c:v>
                </c:pt>
                <c:pt idx="23">
                  <c:v>1.0332840277862838E-2</c:v>
                </c:pt>
                <c:pt idx="24">
                  <c:v>1.2328993587996521E-2</c:v>
                </c:pt>
                <c:pt idx="25">
                  <c:v>1.4515186049781999E-2</c:v>
                </c:pt>
                <c:pt idx="26">
                  <c:v>1.7023068747557293E-2</c:v>
                </c:pt>
                <c:pt idx="27">
                  <c:v>2.0067000106257588E-2</c:v>
                </c:pt>
                <c:pt idx="28">
                  <c:v>2.4009383305282767E-2</c:v>
                </c:pt>
                <c:pt idx="29">
                  <c:v>2.947677944602985E-2</c:v>
                </c:pt>
                <c:pt idx="30">
                  <c:v>3.7561143125026959E-2</c:v>
                </c:pt>
                <c:pt idx="31">
                  <c:v>5.0159126980162151E-2</c:v>
                </c:pt>
                <c:pt idx="32">
                  <c:v>7.0528413974562942E-2</c:v>
                </c:pt>
                <c:pt idx="33">
                  <c:v>0.10417541094732834</c:v>
                </c:pt>
                <c:pt idx="34">
                  <c:v>0.16023559499142748</c:v>
                </c:pt>
                <c:pt idx="35">
                  <c:v>0.25356883819177101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15424"/>
        <c:axId val="97016000"/>
      </c:scatterChart>
      <c:valAx>
        <c:axId val="9701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7016000"/>
        <c:crossesAt val="-10000000000"/>
        <c:crossBetween val="midCat"/>
      </c:valAx>
      <c:valAx>
        <c:axId val="97016000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97015424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'Ciclagem2 BQF10'!$B$22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'Ciclagem2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'Ciclagem2 BQF10'!$B$23:$B$58</c:f>
              <c:numCache>
                <c:formatCode>0.0000000000E+00</c:formatCode>
                <c:ptCount val="36"/>
                <c:pt idx="0">
                  <c:v>-0.19647746827055712</c:v>
                </c:pt>
                <c:pt idx="1">
                  <c:v>-0.20858617235527974</c:v>
                </c:pt>
                <c:pt idx="2">
                  <c:v>-0.20751520214713295</c:v>
                </c:pt>
                <c:pt idx="3">
                  <c:v>-0.19918457509902612</c:v>
                </c:pt>
                <c:pt idx="4">
                  <c:v>-0.1870861109897774</c:v>
                </c:pt>
                <c:pt idx="5">
                  <c:v>-0.17320374146900339</c:v>
                </c:pt>
                <c:pt idx="6">
                  <c:v>-0.15861355742980426</c:v>
                </c:pt>
                <c:pt idx="7">
                  <c:v>-0.14386495178846537</c:v>
                </c:pt>
                <c:pt idx="8">
                  <c:v>-0.12921523763177864</c:v>
                </c:pt>
                <c:pt idx="9">
                  <c:v>-0.11476862171788842</c:v>
                </c:pt>
                <c:pt idx="10">
                  <c:v>-0.10055464970264566</c:v>
                </c:pt>
                <c:pt idx="11">
                  <c:v>-8.6569828958688422E-2</c:v>
                </c:pt>
                <c:pt idx="12">
                  <c:v>-7.2797993005389625E-2</c:v>
                </c:pt>
                <c:pt idx="13">
                  <c:v>-5.9219259453726567E-2</c:v>
                </c:pt>
                <c:pt idx="14">
                  <c:v>-4.5813510305778037E-2</c:v>
                </c:pt>
                <c:pt idx="15">
                  <c:v>-3.2561705654755239E-2</c:v>
                </c:pt>
                <c:pt idx="16">
                  <c:v>-1.9446667073805258E-2</c:v>
                </c:pt>
                <c:pt idx="17">
                  <c:v>-6.4539651772830805E-3</c:v>
                </c:pt>
                <c:pt idx="18">
                  <c:v>6.4269843701090278E-3</c:v>
                </c:pt>
                <c:pt idx="19">
                  <c:v>1.9201720821044651E-2</c:v>
                </c:pt>
                <c:pt idx="20">
                  <c:v>3.1869536215400777E-2</c:v>
                </c:pt>
                <c:pt idx="21">
                  <c:v>4.4422235428645269E-2</c:v>
                </c:pt>
                <c:pt idx="22">
                  <c:v>5.6842591222506976E-2</c:v>
                </c:pt>
                <c:pt idx="23">
                  <c:v>6.910190209062346E-2</c:v>
                </c:pt>
                <c:pt idx="24">
                  <c:v>8.1155588805734896E-2</c:v>
                </c:pt>
                <c:pt idx="25">
                  <c:v>9.2935021703760584E-2</c:v>
                </c:pt>
                <c:pt idx="26">
                  <c:v>0.10433253358176464</c:v>
                </c:pt>
                <c:pt idx="27">
                  <c:v>0.11517449488064374</c:v>
                </c:pt>
                <c:pt idx="28">
                  <c:v>0.12517389809506521</c:v>
                </c:pt>
                <c:pt idx="29">
                  <c:v>0.13384840169209633</c:v>
                </c:pt>
                <c:pt idx="30">
                  <c:v>0.14038125168831908</c:v>
                </c:pt>
                <c:pt idx="31">
                  <c:v>0.14338965560922909</c:v>
                </c:pt>
                <c:pt idx="32">
                  <c:v>0.14054638559781429</c:v>
                </c:pt>
                <c:pt idx="33">
                  <c:v>0.12797355820716316</c:v>
                </c:pt>
                <c:pt idx="34">
                  <c:v>9.9290095590051544E-2</c:v>
                </c:pt>
                <c:pt idx="35">
                  <c:v>4.4143150470623026E-2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42816"/>
        <c:axId val="39031296"/>
      </c:scatterChart>
      <c:valAx>
        <c:axId val="9084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031296"/>
        <c:crossesAt val="-10000000000"/>
        <c:crossBetween val="midCat"/>
      </c:valAx>
      <c:valAx>
        <c:axId val="39031296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90842816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'Ciclagem2 BQF10'!$C$22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'Ciclagem2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'Ciclagem2 BQF10'!$C$23:$C$58</c:f>
              <c:numCache>
                <c:formatCode>0.0000000000E+00</c:formatCode>
                <c:ptCount val="36"/>
                <c:pt idx="0">
                  <c:v>4.5234878135421409E-2</c:v>
                </c:pt>
                <c:pt idx="1">
                  <c:v>3.6449935485848982E-2</c:v>
                </c:pt>
                <c:pt idx="2">
                  <c:v>3.0204365325468524E-2</c:v>
                </c:pt>
                <c:pt idx="3">
                  <c:v>2.537811481589522E-2</c:v>
                </c:pt>
                <c:pt idx="4">
                  <c:v>2.1445344223958648E-2</c:v>
                </c:pt>
                <c:pt idx="5">
                  <c:v>1.8151941126608281E-2</c:v>
                </c:pt>
                <c:pt idx="6">
                  <c:v>1.5358539638002109E-2</c:v>
                </c:pt>
                <c:pt idx="7">
                  <c:v>1.2971488949751437E-2</c:v>
                </c:pt>
                <c:pt idx="8">
                  <c:v>1.0916759177630551E-2</c:v>
                </c:pt>
                <c:pt idx="9">
                  <c:v>9.1323423468651181E-3</c:v>
                </c:pt>
                <c:pt idx="10">
                  <c:v>7.5670284015259834E-3</c:v>
                </c:pt>
                <c:pt idx="11">
                  <c:v>6.1803145190978811E-3</c:v>
                </c:pt>
                <c:pt idx="12">
                  <c:v>4.9416845803414589E-3</c:v>
                </c:pt>
                <c:pt idx="13">
                  <c:v>3.8290043599439908E-3</c:v>
                </c:pt>
                <c:pt idx="14">
                  <c:v>2.8262642001275814E-3</c:v>
                </c:pt>
                <c:pt idx="15">
                  <c:v>1.9209453082817216E-3</c:v>
                </c:pt>
                <c:pt idx="16">
                  <c:v>1.1012032346271142E-3</c:v>
                </c:pt>
                <c:pt idx="17">
                  <c:v>3.5298711364626202E-4</c:v>
                </c:pt>
                <c:pt idx="18">
                  <c:v>-3.4282945363620608E-4</c:v>
                </c:pt>
                <c:pt idx="19">
                  <c:v>-1.0132705752930516E-3</c:v>
                </c:pt>
                <c:pt idx="20">
                  <c:v>-1.6960814489631599E-3</c:v>
                </c:pt>
                <c:pt idx="21">
                  <c:v>-2.442762583348065E-3</c:v>
                </c:pt>
                <c:pt idx="22">
                  <c:v>-3.3222798764035227E-3</c:v>
                </c:pt>
                <c:pt idx="23">
                  <c:v>-4.4262670960195762E-3</c:v>
                </c:pt>
                <c:pt idx="24">
                  <c:v>-5.8769946098588353E-3</c:v>
                </c:pt>
                <c:pt idx="25">
                  <c:v>-7.8399944274099992E-3</c:v>
                </c:pt>
                <c:pt idx="26">
                  <c:v>-1.0544154800581565E-2</c:v>
                </c:pt>
                <c:pt idx="27">
                  <c:v>-1.4313637336114416E-2</c:v>
                </c:pt>
                <c:pt idx="28">
                  <c:v>-1.9618678681687349E-2</c:v>
                </c:pt>
                <c:pt idx="29">
                  <c:v>-2.7157110589532029E-2</c:v>
                </c:pt>
                <c:pt idx="30">
                  <c:v>-3.7986612371608643E-2</c:v>
                </c:pt>
                <c:pt idx="31">
                  <c:v>-5.374122434347773E-2</c:v>
                </c:pt>
                <c:pt idx="32">
                  <c:v>-7.6987148467369135E-2</c:v>
                </c:pt>
                <c:pt idx="33">
                  <c:v>-0.11180587235905083</c:v>
                </c:pt>
                <c:pt idx="34">
                  <c:v>-0.16474175819844813</c:v>
                </c:pt>
                <c:pt idx="35">
                  <c:v>-0.24632226406505206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9568"/>
        <c:axId val="90841664"/>
      </c:scatterChart>
      <c:valAx>
        <c:axId val="390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0841664"/>
        <c:crossesAt val="-10000000000"/>
        <c:crossBetween val="midCat"/>
      </c:valAx>
      <c:valAx>
        <c:axId val="90841664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39029568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'Original - Ciclagem1 BQF10 (2)'!$B$22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'Original - Ciclagem1 BQF10 (2)'!$A$23:$A$58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'Original - Ciclagem1 BQF10 (2)'!$B$23:$B$58</c:f>
              <c:numCache>
                <c:formatCode>0.0000000000E+00</c:formatCode>
                <c:ptCount val="36"/>
                <c:pt idx="0">
                  <c:v>-0.28158839036797018</c:v>
                </c:pt>
                <c:pt idx="1">
                  <c:v>-0.2888551084287227</c:v>
                </c:pt>
                <c:pt idx="2">
                  <c:v>-0.27979890651709044</c:v>
                </c:pt>
                <c:pt idx="3">
                  <c:v>-0.2633033286458018</c:v>
                </c:pt>
                <c:pt idx="4">
                  <c:v>-0.24393663566447812</c:v>
                </c:pt>
                <c:pt idx="5">
                  <c:v>-0.22386655498556574</c:v>
                </c:pt>
                <c:pt idx="6">
                  <c:v>-0.20399662226375553</c:v>
                </c:pt>
                <c:pt idx="7">
                  <c:v>-0.18461282445648949</c:v>
                </c:pt>
                <c:pt idx="8">
                  <c:v>-0.1657327070630617</c:v>
                </c:pt>
                <c:pt idx="9">
                  <c:v>-0.14728106776016592</c:v>
                </c:pt>
                <c:pt idx="10">
                  <c:v>-0.12916963166231657</c:v>
                </c:pt>
                <c:pt idx="11">
                  <c:v>-0.11132696984562282</c:v>
                </c:pt>
                <c:pt idx="12">
                  <c:v>-9.3704913084457497E-2</c:v>
                </c:pt>
                <c:pt idx="13">
                  <c:v>-7.6275405456880066E-2</c:v>
                </c:pt>
                <c:pt idx="14">
                  <c:v>-5.9024580241394835E-2</c:v>
                </c:pt>
                <c:pt idx="15">
                  <c:v>-4.1946965246501162E-2</c:v>
                </c:pt>
                <c:pt idx="16">
                  <c:v>-2.5040831437421213E-2</c:v>
                </c:pt>
                <c:pt idx="17">
                  <c:v>-8.3049084744497449E-3</c:v>
                </c:pt>
                <c:pt idx="18">
                  <c:v>8.2635577623589099E-3</c:v>
                </c:pt>
                <c:pt idx="19">
                  <c:v>2.4669470507467841E-2</c:v>
                </c:pt>
                <c:pt idx="20">
                  <c:v>4.0919341868688917E-2</c:v>
                </c:pt>
                <c:pt idx="21">
                  <c:v>5.7019661524418688E-2</c:v>
                </c:pt>
                <c:pt idx="22">
                  <c:v>7.2974364285364954E-2</c:v>
                </c:pt>
                <c:pt idx="23">
                  <c:v>8.8781631290280355E-2</c:v>
                </c:pt>
                <c:pt idx="24">
                  <c:v>0.10443014662353668</c:v>
                </c:pt>
                <c:pt idx="25">
                  <c:v>0.11989444502333699</c:v>
                </c:pt>
                <c:pt idx="26">
                  <c:v>0.13512778101472567</c:v>
                </c:pt>
                <c:pt idx="27">
                  <c:v>0.15004848681934435</c:v>
                </c:pt>
                <c:pt idx="28">
                  <c:v>0.16451125451299342</c:v>
                </c:pt>
                <c:pt idx="29">
                  <c:v>0.17824699370920483</c:v>
                </c:pt>
                <c:pt idx="30">
                  <c:v>0.19074220574605463</c:v>
                </c:pt>
                <c:pt idx="31">
                  <c:v>0.20100887766687059</c:v>
                </c:pt>
                <c:pt idx="32">
                  <c:v>0.20716564947858485</c:v>
                </c:pt>
                <c:pt idx="33">
                  <c:v>0.20570640319845501</c:v>
                </c:pt>
                <c:pt idx="34">
                  <c:v>0.19026826697258406</c:v>
                </c:pt>
                <c:pt idx="35">
                  <c:v>0.14962076232856122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55520"/>
        <c:axId val="39357248"/>
      </c:scatterChart>
      <c:valAx>
        <c:axId val="39355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357248"/>
        <c:crossesAt val="-10000000000"/>
        <c:crossBetween val="midCat"/>
      </c:valAx>
      <c:valAx>
        <c:axId val="39357248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39355520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'Original - Ciclagem1 BQF10 (2)'!$C$22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'Original - Ciclagem1 BQF10 (2)'!$A$23:$A$58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'Original - Ciclagem1 BQF10 (2)'!$C$23:$C$58</c:f>
              <c:numCache>
                <c:formatCode>0.0000000000E+00</c:formatCode>
                <c:ptCount val="36"/>
                <c:pt idx="0">
                  <c:v>-9.2636115437427349E-2</c:v>
                </c:pt>
                <c:pt idx="1">
                  <c:v>-5.8974134806244659E-2</c:v>
                </c:pt>
                <c:pt idx="2">
                  <c:v>-4.1148712587221054E-2</c:v>
                </c:pt>
                <c:pt idx="3">
                  <c:v>-3.1815163617543607E-2</c:v>
                </c:pt>
                <c:pt idx="4">
                  <c:v>-2.6826112655048039E-2</c:v>
                </c:pt>
                <c:pt idx="5">
                  <c:v>-2.3928276592559989E-2</c:v>
                </c:pt>
                <c:pt idx="6">
                  <c:v>-2.1953907132818744E-2</c:v>
                </c:pt>
                <c:pt idx="7">
                  <c:v>-2.0332527094656758E-2</c:v>
                </c:pt>
                <c:pt idx="8">
                  <c:v>-1.8805412248278371E-2</c:v>
                </c:pt>
                <c:pt idx="9">
                  <c:v>-1.726513054199464E-2</c:v>
                </c:pt>
                <c:pt idx="10">
                  <c:v>-1.5669888963437562E-2</c:v>
                </c:pt>
                <c:pt idx="11">
                  <c:v>-1.4000954826329499E-2</c:v>
                </c:pt>
                <c:pt idx="12">
                  <c:v>-1.2243657859742432E-2</c:v>
                </c:pt>
                <c:pt idx="13">
                  <c:v>-1.0380395783741263E-2</c:v>
                </c:pt>
                <c:pt idx="14">
                  <c:v>-8.3890664201791247E-3</c:v>
                </c:pt>
                <c:pt idx="15">
                  <c:v>-6.2434207881038638E-3</c:v>
                </c:pt>
                <c:pt idx="16">
                  <c:v>-3.9136478232592291E-3</c:v>
                </c:pt>
                <c:pt idx="17">
                  <c:v>-1.3665111511088196E-3</c:v>
                </c:pt>
                <c:pt idx="18">
                  <c:v>1.4351449712663898E-3</c:v>
                </c:pt>
                <c:pt idx="19">
                  <c:v>4.5335314902732833E-3</c:v>
                </c:pt>
                <c:pt idx="20">
                  <c:v>7.9777407821999737E-3</c:v>
                </c:pt>
                <c:pt idx="21">
                  <c:v>1.1826504368485573E-2</c:v>
                </c:pt>
                <c:pt idx="22">
                  <c:v>1.6152482054879062E-2</c:v>
                </c:pt>
                <c:pt idx="23">
                  <c:v>2.1049310328682191E-2</c:v>
                </c:pt>
                <c:pt idx="24">
                  <c:v>2.6643772375211858E-2</c:v>
                </c:pt>
                <c:pt idx="25">
                  <c:v>3.3117528196689193E-2</c:v>
                </c:pt>
                <c:pt idx="26">
                  <c:v>4.0746574798787911E-2</c:v>
                </c:pt>
                <c:pt idx="27">
                  <c:v>4.9973086063447594E-2</c:v>
                </c:pt>
                <c:pt idx="28">
                  <c:v>6.153510071144231E-2</c:v>
                </c:pt>
                <c:pt idx="29">
                  <c:v>7.6696911738765611E-2</c:v>
                </c:pt>
                <c:pt idx="30">
                  <c:v>9.7649981863644153E-2</c:v>
                </c:pt>
                <c:pt idx="31">
                  <c:v>0.1281947553961072</c:v>
                </c:pt>
                <c:pt idx="32">
                  <c:v>0.17487300917781157</c:v>
                </c:pt>
                <c:pt idx="33">
                  <c:v>0.24880491193014012</c:v>
                </c:pt>
                <c:pt idx="34">
                  <c:v>0.36860287926347968</c:v>
                </c:pt>
                <c:pt idx="35">
                  <c:v>0.56489561725982373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0208"/>
        <c:axId val="54590784"/>
      </c:scatterChart>
      <c:valAx>
        <c:axId val="5459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4590784"/>
        <c:crossesAt val="-10000000000"/>
        <c:crossBetween val="midCat"/>
      </c:valAx>
      <c:valAx>
        <c:axId val="54590784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54590208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'Original - Ciclagem1 BQF10'!$B$22</c:f>
              <c:strCache>
                <c:ptCount val="1"/>
                <c:pt idx="0">
                  <c:v>Residual Normal</c:v>
                </c:pt>
              </c:strCache>
            </c:strRef>
          </c:tx>
          <c:xVal>
            <c:numRef>
              <c:f>'Original - Ciclagem1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'Original - Ciclagem1 BQF10'!$B$23:$B$58</c:f>
              <c:numCache>
                <c:formatCode>0.0000000000E+00</c:formatCode>
                <c:ptCount val="36"/>
                <c:pt idx="0">
                  <c:v>-0.50432349722998371</c:v>
                </c:pt>
                <c:pt idx="1">
                  <c:v>-0.40228308213135183</c:v>
                </c:pt>
                <c:pt idx="2">
                  <c:v>-0.33677954813639766</c:v>
                </c:pt>
                <c:pt idx="3">
                  <c:v>-0.2924672962730685</c:v>
                </c:pt>
                <c:pt idx="4">
                  <c:v>-0.26012905370067485</c:v>
                </c:pt>
                <c:pt idx="5">
                  <c:v>-0.2343741804605671</c:v>
                </c:pt>
                <c:pt idx="6">
                  <c:v>-0.21214284095995378</c:v>
                </c:pt>
                <c:pt idx="7">
                  <c:v>-0.1917560820334665</c:v>
                </c:pt>
                <c:pt idx="8">
                  <c:v>-0.17232785920610677</c:v>
                </c:pt>
                <c:pt idx="9">
                  <c:v>-0.15341135720047977</c:v>
                </c:pt>
                <c:pt idx="10">
                  <c:v>-0.13479295254335483</c:v>
                </c:pt>
                <c:pt idx="11">
                  <c:v>-0.11637645290567199</c:v>
                </c:pt>
                <c:pt idx="12">
                  <c:v>-9.8120711832179366E-2</c:v>
                </c:pt>
                <c:pt idx="13">
                  <c:v>-8.0007657299330737E-2</c:v>
                </c:pt>
                <c:pt idx="14">
                  <c:v>-6.2026986040206636E-2</c:v>
                </c:pt>
                <c:pt idx="15">
                  <c:v>-4.4169645047650911E-2</c:v>
                </c:pt>
                <c:pt idx="16">
                  <c:v>-2.6425790179942801E-2</c:v>
                </c:pt>
                <c:pt idx="17">
                  <c:v>-8.7849514047890608E-3</c:v>
                </c:pt>
                <c:pt idx="18">
                  <c:v>8.7627941914708348E-3</c:v>
                </c:pt>
                <c:pt idx="19">
                  <c:v>2.6225335733377337E-2</c:v>
                </c:pt>
                <c:pt idx="20">
                  <c:v>4.3607199713299384E-2</c:v>
                </c:pt>
                <c:pt idx="21">
                  <c:v>6.0908707054350704E-2</c:v>
                </c:pt>
                <c:pt idx="22">
                  <c:v>7.8125732252319502E-2</c:v>
                </c:pt>
                <c:pt idx="23">
                  <c:v>9.5249789787739181E-2</c:v>
                </c:pt>
                <c:pt idx="24">
                  <c:v>0.11226751969053939</c:v>
                </c:pt>
                <c:pt idx="25">
                  <c:v>0.12915767113729995</c:v>
                </c:pt>
                <c:pt idx="26">
                  <c:v>0.14588236567502696</c:v>
                </c:pt>
                <c:pt idx="27">
                  <c:v>0.16236778351720979</c:v>
                </c:pt>
                <c:pt idx="28">
                  <c:v>0.17846755235656403</c:v>
                </c:pt>
                <c:pt idx="29">
                  <c:v>0.19390022679699423</c:v>
                </c:pt>
                <c:pt idx="30">
                  <c:v>0.20815067009909374</c:v>
                </c:pt>
                <c:pt idx="31">
                  <c:v>0.2203244230931749</c:v>
                </c:pt>
                <c:pt idx="32">
                  <c:v>0.22894505177539148</c:v>
                </c:pt>
                <c:pt idx="33">
                  <c:v>0.23168810378034638</c:v>
                </c:pt>
                <c:pt idx="34">
                  <c:v>0.22505316133406525</c:v>
                </c:pt>
                <c:pt idx="35">
                  <c:v>0.20398951131547929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31328"/>
        <c:axId val="162131904"/>
      </c:scatterChart>
      <c:valAx>
        <c:axId val="16213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2131904"/>
        <c:crossesAt val="-10000000000"/>
        <c:crossBetween val="midCat"/>
      </c:valAx>
      <c:valAx>
        <c:axId val="162131904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62131328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Skew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'Original - Ciclagem1 BQF10'!$C$22</c:f>
              <c:strCache>
                <c:ptCount val="1"/>
                <c:pt idx="0">
                  <c:v>Residual Skew</c:v>
                </c:pt>
              </c:strCache>
            </c:strRef>
          </c:tx>
          <c:xVal>
            <c:numRef>
              <c:f>'Original - Ciclagem1 BQF10'!$A$23:$A$58</c:f>
              <c:numCache>
                <c:formatCode>General</c:formatCode>
                <c:ptCount val="36"/>
                <c:pt idx="0">
                  <c:v>-1.7500000000000002E-2</c:v>
                </c:pt>
                <c:pt idx="1">
                  <c:v>-1.6500000000000001E-2</c:v>
                </c:pt>
                <c:pt idx="2">
                  <c:v>-1.55E-2</c:v>
                </c:pt>
                <c:pt idx="3">
                  <c:v>-1.4499999999999999E-2</c:v>
                </c:pt>
                <c:pt idx="4">
                  <c:v>-1.3499999999999998E-2</c:v>
                </c:pt>
                <c:pt idx="5">
                  <c:v>-1.2499999999999997E-2</c:v>
                </c:pt>
                <c:pt idx="6">
                  <c:v>-1.1499999999999996E-2</c:v>
                </c:pt>
                <c:pt idx="7">
                  <c:v>-1.0499999999999995E-2</c:v>
                </c:pt>
                <c:pt idx="8">
                  <c:v>-9.4999999999999946E-3</c:v>
                </c:pt>
                <c:pt idx="9">
                  <c:v>-8.4999999999999937E-3</c:v>
                </c:pt>
                <c:pt idx="10">
                  <c:v>-7.4999999999999937E-3</c:v>
                </c:pt>
                <c:pt idx="11">
                  <c:v>-6.4999999999999936E-3</c:v>
                </c:pt>
                <c:pt idx="12">
                  <c:v>-5.4999999999999936E-3</c:v>
                </c:pt>
                <c:pt idx="13">
                  <c:v>-4.4999999999999936E-3</c:v>
                </c:pt>
                <c:pt idx="14">
                  <c:v>-3.4999999999999936E-3</c:v>
                </c:pt>
                <c:pt idx="15">
                  <c:v>-2.4999999999999935E-3</c:v>
                </c:pt>
                <c:pt idx="16">
                  <c:v>-1.4999999999999935E-3</c:v>
                </c:pt>
                <c:pt idx="17">
                  <c:v>-4.9999999999999351E-4</c:v>
                </c:pt>
                <c:pt idx="18">
                  <c:v>5.0000000000000652E-4</c:v>
                </c:pt>
                <c:pt idx="19">
                  <c:v>1.5000000000000065E-3</c:v>
                </c:pt>
                <c:pt idx="20">
                  <c:v>2.5000000000000066E-3</c:v>
                </c:pt>
                <c:pt idx="21">
                  <c:v>3.5000000000000066E-3</c:v>
                </c:pt>
                <c:pt idx="22">
                  <c:v>4.5000000000000066E-3</c:v>
                </c:pt>
                <c:pt idx="23">
                  <c:v>5.5000000000000066E-3</c:v>
                </c:pt>
                <c:pt idx="24">
                  <c:v>6.5000000000000066E-3</c:v>
                </c:pt>
                <c:pt idx="25">
                  <c:v>7.5000000000000067E-3</c:v>
                </c:pt>
                <c:pt idx="26">
                  <c:v>8.5000000000000075E-3</c:v>
                </c:pt>
                <c:pt idx="27">
                  <c:v>9.5000000000000084E-3</c:v>
                </c:pt>
                <c:pt idx="28">
                  <c:v>1.0500000000000009E-2</c:v>
                </c:pt>
                <c:pt idx="29">
                  <c:v>1.150000000000001E-2</c:v>
                </c:pt>
                <c:pt idx="30">
                  <c:v>1.2500000000000011E-2</c:v>
                </c:pt>
                <c:pt idx="31">
                  <c:v>1.3500000000000012E-2</c:v>
                </c:pt>
                <c:pt idx="32">
                  <c:v>1.4500000000000013E-2</c:v>
                </c:pt>
                <c:pt idx="33">
                  <c:v>1.5500000000000014E-2</c:v>
                </c:pt>
                <c:pt idx="34">
                  <c:v>1.6500000000000015E-2</c:v>
                </c:pt>
                <c:pt idx="35">
                  <c:v>1.7500000000000016E-2</c:v>
                </c:pt>
              </c:numCache>
            </c:numRef>
          </c:xVal>
          <c:yVal>
            <c:numRef>
              <c:f>'Original - Ciclagem1 BQF10'!$C$23:$C$58</c:f>
              <c:numCache>
                <c:formatCode>0.0000000000E+00</c:formatCode>
                <c:ptCount val="36"/>
                <c:pt idx="0">
                  <c:v>2.4916238919516696E-2</c:v>
                </c:pt>
                <c:pt idx="1">
                  <c:v>1.838230099261277E-2</c:v>
                </c:pt>
                <c:pt idx="2">
                  <c:v>1.4571470551063158E-2</c:v>
                </c:pt>
                <c:pt idx="3">
                  <c:v>1.185977495186036E-2</c:v>
                </c:pt>
                <c:pt idx="4">
                  <c:v>9.5831112739652551E-3</c:v>
                </c:pt>
                <c:pt idx="5">
                  <c:v>7.5233619473230318E-3</c:v>
                </c:pt>
                <c:pt idx="6">
                  <c:v>5.6424919769365858E-3</c:v>
                </c:pt>
                <c:pt idx="7">
                  <c:v>3.9576767176094088E-3</c:v>
                </c:pt>
                <c:pt idx="8">
                  <c:v>2.4911316976008284E-3</c:v>
                </c:pt>
                <c:pt idx="9">
                  <c:v>1.2556816707377392E-3</c:v>
                </c:pt>
                <c:pt idx="10">
                  <c:v>2.5478401593554529E-4</c:v>
                </c:pt>
                <c:pt idx="11">
                  <c:v>-5.1345976498296214E-4</c:v>
                </c:pt>
                <c:pt idx="12">
                  <c:v>-1.0526193345170068E-3</c:v>
                </c:pt>
                <c:pt idx="13">
                  <c:v>-1.3657556478784958E-3</c:v>
                </c:pt>
                <c:pt idx="14">
                  <c:v>-1.454598408980341E-3</c:v>
                </c:pt>
                <c:pt idx="15">
                  <c:v>-1.3195825394757184E-3</c:v>
                </c:pt>
                <c:pt idx="16">
                  <c:v>-9.6032417516209699E-4</c:v>
                </c:pt>
                <c:pt idx="17">
                  <c:v>-3.7630314428224227E-4</c:v>
                </c:pt>
                <c:pt idx="18">
                  <c:v>4.3234698148874738E-4</c:v>
                </c:pt>
                <c:pt idx="19">
                  <c:v>1.4640099571859532E-3</c:v>
                </c:pt>
                <c:pt idx="20">
                  <c:v>2.714851365885436E-3</c:v>
                </c:pt>
                <c:pt idx="21">
                  <c:v>4.178433893662882E-3</c:v>
                </c:pt>
                <c:pt idx="22">
                  <c:v>5.8461045947541352E-3</c:v>
                </c:pt>
                <c:pt idx="23">
                  <c:v>7.7087903010564082E-3</c:v>
                </c:pt>
                <c:pt idx="24">
                  <c:v>9.7611680913337762E-3</c:v>
                </c:pt>
                <c:pt idx="25">
                  <c:v>1.200975214920078E-2</c:v>
                </c:pt>
                <c:pt idx="26">
                  <c:v>1.4487450620165534E-2</c:v>
                </c:pt>
                <c:pt idx="27">
                  <c:v>1.7278852933057292E-2</c:v>
                </c:pt>
                <c:pt idx="28">
                  <c:v>2.0563217570398473E-2</c:v>
                </c:pt>
                <c:pt idx="29">
                  <c:v>2.4686183610318047E-2</c:v>
                </c:pt>
                <c:pt idx="30">
                  <c:v>3.0276975206094982E-2</c:v>
                </c:pt>
                <c:pt idx="31">
                  <c:v>3.8435629992400952E-2</c:v>
                </c:pt>
                <c:pt idx="32">
                  <c:v>5.1024818514080091E-2</c:v>
                </c:pt>
                <c:pt idx="33">
                  <c:v>7.111327812886066E-2</c:v>
                </c:pt>
                <c:pt idx="34">
                  <c:v>0.10363274068342684</c:v>
                </c:pt>
                <c:pt idx="35">
                  <c:v>0.15632723953069375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34208"/>
        <c:axId val="162134784"/>
      </c:scatterChart>
      <c:valAx>
        <c:axId val="16213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2134784"/>
        <c:crossesAt val="-10000000000"/>
        <c:crossBetween val="midCat"/>
      </c:valAx>
      <c:valAx>
        <c:axId val="162134784"/>
        <c:scaling>
          <c:orientation val="minMax"/>
        </c:scaling>
        <c:delete val="0"/>
        <c:axPos val="l"/>
        <c:majorGridlines/>
        <c:numFmt formatCode="0.0E+00" sourceLinked="0"/>
        <c:majorTickMark val="out"/>
        <c:minorTickMark val="none"/>
        <c:tickLblPos val="nextTo"/>
        <c:crossAx val="162134208"/>
        <c:crossesAt val="-10000000000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22</xdr:row>
      <xdr:rowOff>23811</xdr:rowOff>
    </xdr:from>
    <xdr:to>
      <xdr:col>9</xdr:col>
      <xdr:colOff>1524000</xdr:colOff>
      <xdr:row>38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41</xdr:row>
      <xdr:rowOff>161926</xdr:rowOff>
    </xdr:from>
    <xdr:to>
      <xdr:col>9</xdr:col>
      <xdr:colOff>1457325</xdr:colOff>
      <xdr:row>57</xdr:row>
      <xdr:rowOff>133350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bimas/Desktop/Bobina%20Girante/Alterados/bobinona/Testes/Alinhamento_Magneto_Bobina/Analise_Alinha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uais BQF-010 - I=5.5A"/>
      <sheetName val="Residuais BQF-010 - I=110A"/>
      <sheetName val="Residuais BQF-009 - I=5.5A"/>
      <sheetName val="Residuais BQF-009 - I=110A"/>
      <sheetName val="Multipolos BQF09 e BQF10"/>
      <sheetName val="QB-010 - Com Usinagem"/>
      <sheetName val="QB-009 - Sem Usinagem"/>
      <sheetName val="Bobina"/>
      <sheetName val="Centro"/>
      <sheetName val="Deslocamento_Bob"/>
      <sheetName val="Tendencia (9)-03-11-2015"/>
      <sheetName val="Tendencia (8)"/>
      <sheetName val="Tendencia (7)"/>
      <sheetName val="Tendencia (6)"/>
      <sheetName val="Tendencia (5)"/>
      <sheetName val="Tendencia (4)"/>
      <sheetName val="Tendencia (3)"/>
      <sheetName val="Tendencia (2)"/>
      <sheetName val="Tendencia"/>
      <sheetName val="Posicao"/>
      <sheetName val="Deslocamento em Z_2"/>
      <sheetName val="Folga trilho de ref, rot180"/>
      <sheetName val="Folga trilho de ref, rot90"/>
      <sheetName val="Folga trilho de referência"/>
      <sheetName val="Deslocamento em Z, rot180"/>
      <sheetName val="Deslocamento em Z, rot90"/>
      <sheetName val="Deslocamento em Z"/>
      <sheetName val="Efeito Ciclagem no Centro"/>
      <sheetName val="Plan2"/>
      <sheetName val="Plan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workbookViewId="0">
      <selection activeCell="A10" sqref="A10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-2.4641469999999999E-5</v>
      </c>
      <c r="C2" s="1">
        <v>9.5941809999999999E-8</v>
      </c>
      <c r="D2" s="1">
        <v>2.71829E-6</v>
      </c>
      <c r="E2" s="1">
        <v>3.933603E-7</v>
      </c>
      <c r="F2" s="1">
        <v>2.479095E-5</v>
      </c>
      <c r="G2" s="1">
        <v>1.068597E-7</v>
      </c>
      <c r="H2" s="1">
        <v>-0.1095749</v>
      </c>
      <c r="I2" s="1">
        <v>5.8666629999999997E-2</v>
      </c>
      <c r="J2" s="2">
        <v>-2.4641469999999999E-5</v>
      </c>
      <c r="K2" s="1">
        <v>0</v>
      </c>
      <c r="L2" s="2">
        <v>2.71829E-6</v>
      </c>
      <c r="M2" s="1">
        <v>0</v>
      </c>
    </row>
    <row r="3" spans="1:13" x14ac:dyDescent="0.25">
      <c r="A3">
        <v>2</v>
      </c>
      <c r="B3" s="1">
        <v>4.2819709999999999E-4</v>
      </c>
      <c r="C3" s="1">
        <v>5.7609750000000004E-6</v>
      </c>
      <c r="D3" s="1">
        <v>-6.2785849999999995E-5</v>
      </c>
      <c r="E3" s="1">
        <v>2.0773869999999999E-5</v>
      </c>
      <c r="F3" s="1">
        <v>4.3277570000000001E-4</v>
      </c>
      <c r="G3" s="1">
        <v>6.9632539999999999E-6</v>
      </c>
      <c r="H3" s="1">
        <v>-7.0530060000000006E-2</v>
      </c>
      <c r="I3" s="1">
        <v>8.6728630000000001E-2</v>
      </c>
      <c r="J3" s="2">
        <v>4.2819709999999999E-4</v>
      </c>
      <c r="K3" s="1">
        <v>0</v>
      </c>
      <c r="L3" s="2">
        <v>-6.2785849999999995E-5</v>
      </c>
      <c r="M3" s="1">
        <v>0</v>
      </c>
    </row>
    <row r="4" spans="1:13" x14ac:dyDescent="0.25">
      <c r="A4">
        <v>3</v>
      </c>
      <c r="B4" s="1">
        <v>1.213705E-2</v>
      </c>
      <c r="C4" s="1">
        <v>2.9643019999999999E-4</v>
      </c>
      <c r="D4" s="1">
        <v>4.1138569999999997E-4</v>
      </c>
      <c r="E4" s="1">
        <v>1.132243E-3</v>
      </c>
      <c r="F4" s="1">
        <v>1.214402E-2</v>
      </c>
      <c r="G4" s="1">
        <v>3.7951860000000001E-4</v>
      </c>
      <c r="H4" s="1">
        <v>7.4724040000000002E-3</v>
      </c>
      <c r="I4" s="1">
        <v>0.1071223</v>
      </c>
      <c r="J4" s="2">
        <v>1.213705E-2</v>
      </c>
      <c r="K4" s="1">
        <v>0</v>
      </c>
      <c r="L4" s="2">
        <v>4.1138569999999997E-4</v>
      </c>
      <c r="M4" s="1">
        <v>0</v>
      </c>
    </row>
    <row r="5" spans="1:13" x14ac:dyDescent="0.25">
      <c r="A5">
        <v>4</v>
      </c>
      <c r="B5" s="1">
        <v>-2.505435E-2</v>
      </c>
      <c r="C5" s="1">
        <v>1.8914360000000002E-2</v>
      </c>
      <c r="D5" s="1">
        <v>4.460882E-2</v>
      </c>
      <c r="E5" s="1">
        <v>6.9487270000000004E-2</v>
      </c>
      <c r="F5" s="1">
        <v>5.1163140000000003E-2</v>
      </c>
      <c r="G5" s="1">
        <v>3.1236989999999999E-2</v>
      </c>
      <c r="H5" s="1">
        <v>-3.5456179999999997E-2</v>
      </c>
      <c r="I5" s="1">
        <v>0.31597389999999997</v>
      </c>
      <c r="J5" s="2">
        <v>-2.505435E-2</v>
      </c>
      <c r="K5" s="1">
        <v>0</v>
      </c>
      <c r="L5" s="2">
        <v>4.460882E-2</v>
      </c>
      <c r="M5" s="1">
        <v>0</v>
      </c>
    </row>
    <row r="6" spans="1:13" x14ac:dyDescent="0.25">
      <c r="A6">
        <v>5</v>
      </c>
      <c r="B6" s="1">
        <v>1.2156419999999999</v>
      </c>
      <c r="C6" s="1">
        <v>1.6031139999999999</v>
      </c>
      <c r="D6" s="1">
        <v>-7.5758149999999996E-2</v>
      </c>
      <c r="E6" s="1">
        <v>3.4881669999999998</v>
      </c>
      <c r="F6" s="1">
        <v>1.2180009999999999</v>
      </c>
      <c r="G6" s="1">
        <v>1.443378</v>
      </c>
      <c r="H6" s="1">
        <v>8.5390139999999993E-3</v>
      </c>
      <c r="I6" s="1">
        <v>0.2279678</v>
      </c>
      <c r="J6" s="2">
        <v>1.2156419999999999</v>
      </c>
      <c r="K6" s="1">
        <v>0</v>
      </c>
      <c r="L6" s="2">
        <v>-7.5758149999999996E-2</v>
      </c>
      <c r="M6" s="1">
        <v>0</v>
      </c>
    </row>
    <row r="7" spans="1:13" x14ac:dyDescent="0.25">
      <c r="A7">
        <v>6</v>
      </c>
      <c r="B7" s="1">
        <v>96.346829999999997</v>
      </c>
      <c r="C7" s="1">
        <v>123.41759999999999</v>
      </c>
      <c r="D7" s="1">
        <v>164.33580000000001</v>
      </c>
      <c r="E7" s="1">
        <v>166.4785</v>
      </c>
      <c r="F7" s="1">
        <v>190.4966</v>
      </c>
      <c r="G7" s="1">
        <v>113.4868</v>
      </c>
      <c r="H7" s="1">
        <v>-3.3926919999999999E-2</v>
      </c>
      <c r="I7" s="1">
        <v>0.17166439999999999</v>
      </c>
      <c r="J7" s="2">
        <v>96.346829999999997</v>
      </c>
      <c r="K7" s="1">
        <v>0</v>
      </c>
      <c r="L7" s="2">
        <v>164.33580000000001</v>
      </c>
      <c r="M7" s="1">
        <v>0</v>
      </c>
    </row>
    <row r="8" spans="1:13" x14ac:dyDescent="0.25">
      <c r="A8">
        <v>7</v>
      </c>
      <c r="B8" s="1">
        <v>11433.62</v>
      </c>
      <c r="C8" s="1">
        <v>6366.03</v>
      </c>
      <c r="D8" s="1">
        <v>3344.0839999999998</v>
      </c>
      <c r="E8" s="1">
        <v>15119.03</v>
      </c>
      <c r="F8" s="1">
        <v>11912.62</v>
      </c>
      <c r="G8" s="1">
        <v>8853.2180000000008</v>
      </c>
      <c r="H8" s="1">
        <v>0.11371729999999999</v>
      </c>
      <c r="I8" s="1">
        <v>9.5251370000000002E-2</v>
      </c>
      <c r="J8" s="2">
        <v>11433.62</v>
      </c>
      <c r="K8" s="1">
        <v>0</v>
      </c>
      <c r="L8" s="2">
        <v>3344.0839999999998</v>
      </c>
      <c r="M8" s="1">
        <v>0</v>
      </c>
    </row>
    <row r="9" spans="1:13" x14ac:dyDescent="0.25">
      <c r="A9">
        <v>8</v>
      </c>
      <c r="B9" s="1">
        <v>959410.4</v>
      </c>
      <c r="C9" s="1">
        <v>360716.6</v>
      </c>
      <c r="D9" s="1">
        <v>-77196.539999999994</v>
      </c>
      <c r="E9" s="1">
        <v>730323.8</v>
      </c>
      <c r="F9" s="1">
        <v>962511.1</v>
      </c>
      <c r="G9" s="1">
        <v>407758.2</v>
      </c>
      <c r="H9" s="1">
        <v>-1.0502839999999999E-2</v>
      </c>
      <c r="I9" s="1">
        <v>0.13864609999999999</v>
      </c>
      <c r="J9" s="2">
        <v>959410.4</v>
      </c>
      <c r="K9" s="1">
        <v>0</v>
      </c>
      <c r="L9" s="2">
        <v>-77196.539999999994</v>
      </c>
      <c r="M9" s="1">
        <v>0</v>
      </c>
    </row>
    <row r="10" spans="1:13" x14ac:dyDescent="0.25">
      <c r="A10">
        <v>9</v>
      </c>
      <c r="B10" s="1">
        <v>-11984460</v>
      </c>
      <c r="C10" s="1">
        <v>22407580</v>
      </c>
      <c r="D10" s="1">
        <v>45144450</v>
      </c>
      <c r="E10" s="1">
        <v>45243780</v>
      </c>
      <c r="F10" s="1">
        <v>46708120</v>
      </c>
      <c r="G10" s="1">
        <v>22888740</v>
      </c>
      <c r="H10" s="1">
        <v>3.5714050000000002E-3</v>
      </c>
      <c r="I10" s="1">
        <v>0.12935830000000001</v>
      </c>
      <c r="J10" s="2">
        <v>-11984460</v>
      </c>
      <c r="K10" s="1">
        <v>0</v>
      </c>
      <c r="L10" s="2">
        <v>45144450</v>
      </c>
      <c r="M10" s="1">
        <v>0</v>
      </c>
    </row>
    <row r="11" spans="1:13" x14ac:dyDescent="0.25">
      <c r="A11">
        <v>10</v>
      </c>
      <c r="B11" s="1">
        <v>1460412000</v>
      </c>
      <c r="C11" s="1">
        <v>1287777000</v>
      </c>
      <c r="D11" s="1">
        <v>132691700</v>
      </c>
      <c r="E11" s="1">
        <v>2390880000</v>
      </c>
      <c r="F11" s="1">
        <v>1466428000</v>
      </c>
      <c r="G11" s="1">
        <v>1500908000</v>
      </c>
      <c r="H11" s="1">
        <v>-3.3523049999999999E-2</v>
      </c>
      <c r="I11" s="1">
        <v>9.6855990000000003E-2</v>
      </c>
      <c r="J11" s="2">
        <v>1460412000</v>
      </c>
      <c r="K11" s="1">
        <v>0</v>
      </c>
      <c r="L11" s="2">
        <v>132691700</v>
      </c>
      <c r="M11" s="1">
        <v>0</v>
      </c>
    </row>
    <row r="12" spans="1:13" x14ac:dyDescent="0.25">
      <c r="A12">
        <v>11</v>
      </c>
      <c r="B12" s="1">
        <v>123082300000</v>
      </c>
      <c r="C12" s="1">
        <v>65207600000</v>
      </c>
      <c r="D12" s="1">
        <v>34712820000</v>
      </c>
      <c r="E12" s="1">
        <v>150169700000</v>
      </c>
      <c r="F12" s="1">
        <v>127883600000</v>
      </c>
      <c r="G12" s="1">
        <v>78755430000</v>
      </c>
      <c r="H12" s="1">
        <v>4.7183599999999996E-3</v>
      </c>
      <c r="I12" s="1">
        <v>0.1033351</v>
      </c>
      <c r="J12" s="2">
        <v>123082300000</v>
      </c>
      <c r="K12" s="1">
        <v>0</v>
      </c>
      <c r="L12" s="2">
        <v>34712820000</v>
      </c>
      <c r="M12" s="1">
        <v>0</v>
      </c>
    </row>
    <row r="13" spans="1:13" x14ac:dyDescent="0.25">
      <c r="A13">
        <v>12</v>
      </c>
      <c r="B13" s="1">
        <v>11372380000000</v>
      </c>
      <c r="C13" s="1">
        <v>6603945000000</v>
      </c>
      <c r="D13" s="1">
        <v>4138905000000</v>
      </c>
      <c r="E13" s="1">
        <v>10588370000000</v>
      </c>
      <c r="F13" s="1">
        <v>12102130000000</v>
      </c>
      <c r="G13" s="1">
        <v>5684135000000</v>
      </c>
      <c r="H13" s="1">
        <v>9.4026969999999998E-3</v>
      </c>
      <c r="I13" s="1">
        <v>8.4211030000000006E-2</v>
      </c>
      <c r="J13" s="2">
        <v>11372380000000</v>
      </c>
      <c r="K13" s="1">
        <v>0</v>
      </c>
      <c r="L13" s="2">
        <v>4138905000000</v>
      </c>
      <c r="M13" s="1">
        <v>0</v>
      </c>
    </row>
    <row r="14" spans="1:13" x14ac:dyDescent="0.25">
      <c r="A14">
        <v>13</v>
      </c>
      <c r="B14" s="1">
        <v>-103007000000000</v>
      </c>
      <c r="C14" s="1">
        <v>402817800000000</v>
      </c>
      <c r="D14" s="1">
        <v>593496700000000</v>
      </c>
      <c r="E14" s="1">
        <v>464545600000000</v>
      </c>
      <c r="F14" s="1">
        <v>602369300000000</v>
      </c>
      <c r="G14" s="1">
        <v>261931100000000</v>
      </c>
      <c r="H14" s="1">
        <v>-1.2889960000000001E-2</v>
      </c>
      <c r="I14" s="1">
        <v>8.0042050000000003E-2</v>
      </c>
      <c r="J14" s="2">
        <v>-103007000000000</v>
      </c>
      <c r="K14" s="1">
        <v>0</v>
      </c>
      <c r="L14" s="2">
        <v>593496700000000</v>
      </c>
      <c r="M14" s="1">
        <v>0</v>
      </c>
    </row>
    <row r="15" spans="1:13" x14ac:dyDescent="0.25">
      <c r="A15">
        <v>14</v>
      </c>
      <c r="B15" s="1">
        <v>3.201525E+16</v>
      </c>
      <c r="C15" s="1">
        <v>2.019791E+16</v>
      </c>
      <c r="D15" s="1">
        <v>-2.057467E+16</v>
      </c>
      <c r="E15" s="1">
        <v>3.698434E+16</v>
      </c>
      <c r="F15" s="1">
        <v>3.805645E+16</v>
      </c>
      <c r="G15" s="1">
        <v>2.444946E+16</v>
      </c>
      <c r="H15" s="1">
        <v>6.0858309999999999E-3</v>
      </c>
      <c r="I15" s="1">
        <v>6.5822740000000005E-2</v>
      </c>
      <c r="J15" s="2">
        <v>3.201525E+16</v>
      </c>
      <c r="K15" s="1">
        <v>0</v>
      </c>
      <c r="L15" s="2">
        <v>-2.057467E+16</v>
      </c>
      <c r="M15" s="1">
        <v>0</v>
      </c>
    </row>
    <row r="16" spans="1:13" x14ac:dyDescent="0.25">
      <c r="A16">
        <v>15</v>
      </c>
      <c r="B16" s="1">
        <v>1.864953E+18</v>
      </c>
      <c r="C16" s="1">
        <v>1.013824E+18</v>
      </c>
      <c r="D16" s="1">
        <v>-8.696869E+16</v>
      </c>
      <c r="E16" s="1">
        <v>1.113618E+18</v>
      </c>
      <c r="F16" s="1">
        <v>1.86698E+18</v>
      </c>
      <c r="G16" s="1">
        <v>7.705183E+17</v>
      </c>
      <c r="H16" s="1">
        <v>-2.693883E-2</v>
      </c>
      <c r="I16" s="1">
        <v>6.0783700000000003E-2</v>
      </c>
      <c r="J16" s="2">
        <v>1.864953E+18</v>
      </c>
      <c r="K16" s="1">
        <v>0</v>
      </c>
      <c r="L16" s="2">
        <v>-8.696869E+16</v>
      </c>
      <c r="M16" s="1">
        <v>0</v>
      </c>
    </row>
    <row r="18" spans="1:10" ht="18.75" x14ac:dyDescent="0.3">
      <c r="A18" s="24" t="s">
        <v>13</v>
      </c>
      <c r="B18" s="25"/>
      <c r="C18" s="25"/>
      <c r="D18" s="25"/>
      <c r="E18" s="25"/>
      <c r="F18" s="25"/>
      <c r="G18" s="25"/>
      <c r="H18" s="25"/>
      <c r="I18" s="25"/>
      <c r="J18" s="26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11"/>
      <c r="J19" s="8"/>
    </row>
    <row r="20" spans="1:10" x14ac:dyDescent="0.25">
      <c r="A20" s="9">
        <f>B3</f>
        <v>4.2819709999999999E-4</v>
      </c>
      <c r="B20" s="10">
        <f>C3</f>
        <v>5.7609750000000004E-6</v>
      </c>
      <c r="C20" s="11">
        <f>B2/B3/0.000001</f>
        <v>-57547.026824796339</v>
      </c>
      <c r="D20" s="12">
        <f>C2/B3/0.000001</f>
        <v>224.05992474026567</v>
      </c>
      <c r="E20" s="11">
        <f>D2/B3/0.000001</f>
        <v>6348.2214148577841</v>
      </c>
      <c r="F20" s="11">
        <f>E2/B3/0.000001</f>
        <v>918.64307348181489</v>
      </c>
      <c r="G20" s="10">
        <f>H3</f>
        <v>-7.0530060000000006E-2</v>
      </c>
      <c r="H20" s="10">
        <f>I3</f>
        <v>8.6728630000000001E-2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-0.40601930599375463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-0.10472103894604669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-0.41829011796334431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-5.0136891953906491E-2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-0.41562697584886088</v>
      </c>
      <c r="C25" s="20">
        <f t="shared" si="1"/>
        <v>-2.0447442910243706E-2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-0.40265740556546842</v>
      </c>
      <c r="C26" s="20">
        <f t="shared" si="1"/>
        <v>-5.2855033796929607E-3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-0.38288917825302604</v>
      </c>
      <c r="C27" s="20">
        <f t="shared" si="1"/>
        <v>1.6456725834814445E-3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-0.35882716200146036</v>
      </c>
      <c r="C28" s="20">
        <f t="shared" si="1"/>
        <v>4.0907081967453338E-3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-0.3321757407762933</v>
      </c>
      <c r="C29" s="20">
        <f t="shared" si="1"/>
        <v>4.229564297157375E-3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-0.30404764828138159</v>
      </c>
      <c r="C30" s="20">
        <f t="shared" si="1"/>
        <v>3.3037611947997645E-3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-0.2751429543404792</v>
      </c>
      <c r="C31" s="20">
        <f t="shared" si="1"/>
        <v>2.0032165315719418E-3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-0.24588694696882737</v>
      </c>
      <c r="C32" s="20">
        <f t="shared" si="1"/>
        <v>6.9905103970304967E-4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-0.21652871504138693</v>
      </c>
      <c r="C33" s="20">
        <f t="shared" si="1"/>
        <v>-4.1957061308463912E-4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-0.18720776897702801</v>
      </c>
      <c r="C34" s="20">
        <f t="shared" si="1"/>
        <v>-1.2663695548768546E-3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-0.15799720508709347</v>
      </c>
      <c r="C35" s="20">
        <f t="shared" si="1"/>
        <v>-1.812494309938814E-3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-0.12893088738484326</v>
      </c>
      <c r="C36" s="20">
        <f t="shared" si="1"/>
        <v>-2.0600669387757639E-3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-0.10002027402051757</v>
      </c>
      <c r="C37" s="20">
        <f t="shared" si="1"/>
        <v>-2.0263358171999789E-3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-7.1264655208864658E-2</v>
      </c>
      <c r="C38" s="20">
        <f t="shared" si="1"/>
        <v>-1.7338485339069396E-3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-4.2657080071442678E-2</v>
      </c>
      <c r="C39" s="20">
        <f t="shared" si="1"/>
        <v>-1.2042307474648137E-3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-1.4187239622322944E-2</v>
      </c>
      <c r="C40" s="20">
        <f t="shared" si="1"/>
        <v>-4.5427913992132445E-4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1.4158012190252325E-2</v>
      </c>
      <c r="C41" s="20">
        <f t="shared" si="1"/>
        <v>5.0641622717310204E-4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4.2396108825723089E-2</v>
      </c>
      <c r="C42" s="20">
        <f t="shared" si="1"/>
        <v>1.6769145620324883E-3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7.0551948048434232E-2</v>
      </c>
      <c r="C43" s="20">
        <f t="shared" si="1"/>
        <v>3.065972857461552E-3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9.8662684451627125E-2</v>
      </c>
      <c r="C44" s="20">
        <f t="shared" si="1"/>
        <v>4.693242428681404E-3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0.12678426310778559</v>
      </c>
      <c r="C45" s="20">
        <f t="shared" si="1"/>
        <v>6.5912070088249512E-3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0.15500027599130259</v>
      </c>
      <c r="C46" s="20">
        <f t="shared" si="1"/>
        <v>8.808607375970794E-3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0.18343456807584299</v>
      </c>
      <c r="C47" s="20">
        <f t="shared" si="1"/>
        <v>1.1416430066953181E-2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0.21227055246450444</v>
      </c>
      <c r="C48" s="20">
        <f t="shared" si="1"/>
        <v>1.4518138722313089E-2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0.24178294396874822</v>
      </c>
      <c r="C49" s="20">
        <f t="shared" si="1"/>
        <v>1.8266763276976787E-2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0.27239248166546703</v>
      </c>
      <c r="C50" s="20">
        <f t="shared" si="1"/>
        <v>2.2892754401269973E-2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0.3047625974923554</v>
      </c>
      <c r="C51" s="20">
        <f t="shared" si="1"/>
        <v>2.8748102003668168E-2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0.33997102013916419</v>
      </c>
      <c r="C52" s="20">
        <f t="shared" si="1"/>
        <v>3.6373944813632722E-2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0.37981201959284477</v>
      </c>
      <c r="C53" s="20">
        <f t="shared" si="1"/>
        <v>4.6600463303213498E-2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0.42732059314219972</v>
      </c>
      <c r="C54" s="20">
        <f t="shared" si="1"/>
        <v>6.0688780861559995E-2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0.4876639874361936</v>
      </c>
      <c r="C55" s="20">
        <f t="shared" si="1"/>
        <v>8.052422497129634E-2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0.56962587932525044</v>
      </c>
      <c r="C56" s="20">
        <f t="shared" si="1"/>
        <v>0.10886770926579177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0.68802367429796352</v>
      </c>
      <c r="C57" s="20">
        <f t="shared" si="1"/>
        <v>0.14966600194377844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0.86756148425784907</v>
      </c>
      <c r="C58" s="20">
        <f t="shared" si="1"/>
        <v>0.20841074675052945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A2" sqref="A2:M16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-2.5632109999999999E-5</v>
      </c>
      <c r="C2" s="1">
        <v>1.9420459999999999E-7</v>
      </c>
      <c r="D2" s="1">
        <v>1.648188E-6</v>
      </c>
      <c r="E2" s="1">
        <v>4.2681570000000003E-7</v>
      </c>
      <c r="F2" s="1">
        <v>2.5685040000000002E-5</v>
      </c>
      <c r="G2" s="1">
        <v>1.9898630000000001E-7</v>
      </c>
      <c r="H2" s="1">
        <v>-6.3636949999999998E-2</v>
      </c>
      <c r="I2" s="1">
        <v>6.1959409999999999E-2</v>
      </c>
      <c r="J2" s="2">
        <v>-2.5632109999999999E-5</v>
      </c>
      <c r="K2" s="1">
        <v>0</v>
      </c>
      <c r="L2" s="2">
        <v>1.648188E-6</v>
      </c>
      <c r="M2" s="1">
        <v>0</v>
      </c>
    </row>
    <row r="3" spans="1:13" x14ac:dyDescent="0.25">
      <c r="A3">
        <v>2</v>
      </c>
      <c r="B3" s="1">
        <v>-1.27374E-4</v>
      </c>
      <c r="C3" s="1">
        <v>5.4983250000000004E-6</v>
      </c>
      <c r="D3" s="1">
        <v>-6.8104080000000003E-5</v>
      </c>
      <c r="E3" s="1">
        <v>2.7530199999999999E-5</v>
      </c>
      <c r="F3" s="1">
        <v>1.4443790000000001E-4</v>
      </c>
      <c r="G3" s="1">
        <v>1.532001E-5</v>
      </c>
      <c r="H3" s="1">
        <v>0.1708509</v>
      </c>
      <c r="I3" s="1">
        <v>0.2619185</v>
      </c>
      <c r="J3" s="2">
        <v>-1.27374E-4</v>
      </c>
      <c r="K3" s="1">
        <v>0</v>
      </c>
      <c r="L3" s="2">
        <v>-6.8104080000000003E-5</v>
      </c>
      <c r="M3" s="1">
        <v>0</v>
      </c>
    </row>
    <row r="4" spans="1:13" x14ac:dyDescent="0.25">
      <c r="A4">
        <v>3</v>
      </c>
      <c r="B4" s="1">
        <v>8.4213949999999999E-3</v>
      </c>
      <c r="C4" s="1">
        <v>5.4346150000000003E-4</v>
      </c>
      <c r="D4" s="1">
        <v>3.4651E-3</v>
      </c>
      <c r="E4" s="1">
        <v>1.6147189999999999E-3</v>
      </c>
      <c r="F4" s="1">
        <v>9.1064160000000009E-3</v>
      </c>
      <c r="G4" s="1">
        <v>7.5000429999999996E-4</v>
      </c>
      <c r="H4" s="1">
        <v>0.1036049</v>
      </c>
      <c r="I4" s="1">
        <v>0.18568499999999999</v>
      </c>
      <c r="J4" s="2">
        <v>8.4213949999999999E-3</v>
      </c>
      <c r="K4" s="1">
        <v>0</v>
      </c>
      <c r="L4" s="2">
        <v>3.4651E-3</v>
      </c>
      <c r="M4" s="1">
        <v>0</v>
      </c>
    </row>
    <row r="5" spans="1:13" x14ac:dyDescent="0.25">
      <c r="A5">
        <v>4</v>
      </c>
      <c r="B5" s="1">
        <v>-3.437432E-2</v>
      </c>
      <c r="C5" s="1">
        <v>2.9254909999999999E-2</v>
      </c>
      <c r="D5" s="1">
        <v>3.5640140000000001E-2</v>
      </c>
      <c r="E5" s="1">
        <v>6.9785440000000004E-2</v>
      </c>
      <c r="F5" s="1">
        <v>4.9515789999999997E-2</v>
      </c>
      <c r="G5" s="1">
        <v>3.1850759999999999E-2</v>
      </c>
      <c r="H5" s="1">
        <v>1.3850069999999999E-3</v>
      </c>
      <c r="I5" s="1">
        <v>0.2720379</v>
      </c>
      <c r="J5" s="2">
        <v>-3.437432E-2</v>
      </c>
      <c r="K5" s="1">
        <v>0</v>
      </c>
      <c r="L5" s="2">
        <v>3.5640140000000001E-2</v>
      </c>
      <c r="M5" s="1">
        <v>0</v>
      </c>
    </row>
    <row r="6" spans="1:13" x14ac:dyDescent="0.25">
      <c r="A6">
        <v>5</v>
      </c>
      <c r="B6" s="1">
        <v>-1.014767</v>
      </c>
      <c r="C6" s="1">
        <v>2.5155979999999998</v>
      </c>
      <c r="D6" s="1">
        <v>1.9582269999999999</v>
      </c>
      <c r="E6" s="1">
        <v>4.5333439999999996</v>
      </c>
      <c r="F6" s="1">
        <v>2.2055389999999999</v>
      </c>
      <c r="G6" s="1">
        <v>1.717087</v>
      </c>
      <c r="H6" s="1">
        <v>-1.7117879999999999E-2</v>
      </c>
      <c r="I6" s="1">
        <v>0.21232899999999999</v>
      </c>
      <c r="J6" s="2">
        <v>-1.014767</v>
      </c>
      <c r="K6" s="1">
        <v>0</v>
      </c>
      <c r="L6" s="2">
        <v>1.9582269999999999</v>
      </c>
      <c r="M6" s="1">
        <v>0</v>
      </c>
    </row>
    <row r="7" spans="1:13" x14ac:dyDescent="0.25">
      <c r="A7">
        <v>6</v>
      </c>
      <c r="B7" s="1">
        <v>1.0034099999999999</v>
      </c>
      <c r="C7" s="1">
        <v>136.40790000000001</v>
      </c>
      <c r="D7" s="1">
        <v>237.66929999999999</v>
      </c>
      <c r="E7" s="1">
        <v>263.95780000000002</v>
      </c>
      <c r="F7" s="1">
        <v>237.67140000000001</v>
      </c>
      <c r="G7" s="1">
        <v>126.58799999999999</v>
      </c>
      <c r="H7" s="1">
        <v>-4.3926359999999998E-2</v>
      </c>
      <c r="I7" s="1">
        <v>0.18710860000000001</v>
      </c>
      <c r="J7" s="2">
        <v>1.0034099999999999</v>
      </c>
      <c r="K7" s="1">
        <v>0</v>
      </c>
      <c r="L7" s="2">
        <v>237.66929999999999</v>
      </c>
      <c r="M7" s="1">
        <v>0</v>
      </c>
    </row>
    <row r="8" spans="1:13" x14ac:dyDescent="0.25">
      <c r="A8">
        <v>7</v>
      </c>
      <c r="B8" s="1">
        <v>-9170.0339999999997</v>
      </c>
      <c r="C8" s="1">
        <v>8583.152</v>
      </c>
      <c r="D8" s="1">
        <v>3514.09</v>
      </c>
      <c r="E8" s="1">
        <v>13776.11</v>
      </c>
      <c r="F8" s="1">
        <v>9820.3029999999999</v>
      </c>
      <c r="G8" s="1">
        <v>7288.0240000000003</v>
      </c>
      <c r="H8" s="1">
        <v>2.5801279999999999E-2</v>
      </c>
      <c r="I8" s="1">
        <v>0.1573716</v>
      </c>
      <c r="J8" s="2">
        <v>-9170.0339999999997</v>
      </c>
      <c r="K8" s="1">
        <v>0</v>
      </c>
      <c r="L8" s="2">
        <v>3514.09</v>
      </c>
      <c r="M8" s="1">
        <v>0</v>
      </c>
    </row>
    <row r="9" spans="1:13" x14ac:dyDescent="0.25">
      <c r="A9">
        <v>8</v>
      </c>
      <c r="B9" s="1">
        <v>360336</v>
      </c>
      <c r="C9" s="1">
        <v>575506.69999999995</v>
      </c>
      <c r="D9" s="1">
        <v>-62845.72</v>
      </c>
      <c r="E9" s="1">
        <v>859245.3</v>
      </c>
      <c r="F9" s="1">
        <v>365775.3</v>
      </c>
      <c r="G9" s="1">
        <v>430695.4</v>
      </c>
      <c r="H9" s="1">
        <v>1.267188E-2</v>
      </c>
      <c r="I9" s="1">
        <v>0.12835269999999999</v>
      </c>
      <c r="J9" s="2">
        <v>360336</v>
      </c>
      <c r="K9" s="1">
        <v>0</v>
      </c>
      <c r="L9" s="2">
        <v>-62845.72</v>
      </c>
      <c r="M9" s="1">
        <v>0</v>
      </c>
    </row>
    <row r="10" spans="1:13" x14ac:dyDescent="0.25">
      <c r="A10">
        <v>9</v>
      </c>
      <c r="B10" s="1">
        <v>-42589120</v>
      </c>
      <c r="C10" s="1">
        <v>39831400</v>
      </c>
      <c r="D10" s="1">
        <v>-10057900</v>
      </c>
      <c r="E10" s="1">
        <v>43353110</v>
      </c>
      <c r="F10" s="1">
        <v>43760650</v>
      </c>
      <c r="G10" s="1">
        <v>23808960</v>
      </c>
      <c r="H10" s="1">
        <v>-1.717345E-2</v>
      </c>
      <c r="I10" s="1">
        <v>0.10550809999999999</v>
      </c>
      <c r="J10" s="2">
        <v>-42589120</v>
      </c>
      <c r="K10" s="1">
        <v>0</v>
      </c>
      <c r="L10" s="2">
        <v>-10057900</v>
      </c>
      <c r="M10" s="1">
        <v>0</v>
      </c>
    </row>
    <row r="11" spans="1:13" x14ac:dyDescent="0.25">
      <c r="A11">
        <v>10</v>
      </c>
      <c r="B11" s="1">
        <v>497547600</v>
      </c>
      <c r="C11" s="1">
        <v>2506786000</v>
      </c>
      <c r="D11" s="1">
        <v>5884857000</v>
      </c>
      <c r="E11" s="1">
        <v>2860679000</v>
      </c>
      <c r="F11" s="1">
        <v>5905853000</v>
      </c>
      <c r="G11" s="1">
        <v>1741629000</v>
      </c>
      <c r="H11" s="1">
        <v>-2.650839E-2</v>
      </c>
      <c r="I11" s="1">
        <v>9.793462E-2</v>
      </c>
      <c r="J11" s="2">
        <v>497547600</v>
      </c>
      <c r="K11" s="1">
        <v>0</v>
      </c>
      <c r="L11" s="2">
        <v>5884857000</v>
      </c>
      <c r="M11" s="1">
        <v>0</v>
      </c>
    </row>
    <row r="12" spans="1:13" x14ac:dyDescent="0.25">
      <c r="A12">
        <v>11</v>
      </c>
      <c r="B12" s="1">
        <v>-13717400000</v>
      </c>
      <c r="C12" s="1">
        <v>98846190000</v>
      </c>
      <c r="D12" s="1">
        <v>-45479260000</v>
      </c>
      <c r="E12" s="1">
        <v>176451800000</v>
      </c>
      <c r="F12" s="1">
        <v>47502950000</v>
      </c>
      <c r="G12" s="1">
        <v>74688710000</v>
      </c>
      <c r="H12" s="1">
        <v>1.101598E-2</v>
      </c>
      <c r="I12" s="1">
        <v>0.1022999</v>
      </c>
      <c r="J12" s="2">
        <v>-13717400000</v>
      </c>
      <c r="K12" s="1">
        <v>0</v>
      </c>
      <c r="L12" s="2">
        <v>-45479260000</v>
      </c>
      <c r="M12" s="1">
        <v>0</v>
      </c>
    </row>
    <row r="13" spans="1:13" x14ac:dyDescent="0.25">
      <c r="A13">
        <v>12</v>
      </c>
      <c r="B13" s="1">
        <v>5358068000000</v>
      </c>
      <c r="C13" s="1">
        <v>7118695000000</v>
      </c>
      <c r="D13" s="1">
        <v>-77606170000</v>
      </c>
      <c r="E13" s="1">
        <v>7128307000000</v>
      </c>
      <c r="F13" s="1">
        <v>5358630000000</v>
      </c>
      <c r="G13" s="1">
        <v>3530537000000</v>
      </c>
      <c r="H13" s="1">
        <v>-2.17707E-2</v>
      </c>
      <c r="I13" s="1">
        <v>7.8450000000000006E-2</v>
      </c>
      <c r="J13" s="2">
        <v>5358068000000</v>
      </c>
      <c r="K13" s="1">
        <v>0</v>
      </c>
      <c r="L13" s="2">
        <v>-77606170000</v>
      </c>
      <c r="M13" s="1">
        <v>0</v>
      </c>
    </row>
    <row r="14" spans="1:13" x14ac:dyDescent="0.25">
      <c r="A14">
        <v>13</v>
      </c>
      <c r="B14" s="1">
        <v>-492310000000000</v>
      </c>
      <c r="C14" s="1">
        <v>561979700000000</v>
      </c>
      <c r="D14" s="1">
        <v>-143884800000000</v>
      </c>
      <c r="E14" s="1">
        <v>434324800000000</v>
      </c>
      <c r="F14" s="1">
        <v>512905500000000</v>
      </c>
      <c r="G14" s="1">
        <v>314719600000000</v>
      </c>
      <c r="H14" s="1">
        <v>6.0594020000000002E-3</v>
      </c>
      <c r="I14" s="1">
        <v>6.5790290000000001E-2</v>
      </c>
      <c r="J14" s="2">
        <v>-492310000000000</v>
      </c>
      <c r="K14" s="1">
        <v>0</v>
      </c>
      <c r="L14" s="2">
        <v>-143884800000000</v>
      </c>
      <c r="M14" s="1">
        <v>0</v>
      </c>
    </row>
    <row r="15" spans="1:13" x14ac:dyDescent="0.25">
      <c r="A15">
        <v>14</v>
      </c>
      <c r="B15" s="1">
        <v>-9067331000000000</v>
      </c>
      <c r="C15" s="1">
        <v>2.711792E+16</v>
      </c>
      <c r="D15" s="1">
        <v>2.372146E+16</v>
      </c>
      <c r="E15" s="1">
        <v>3.604745E+16</v>
      </c>
      <c r="F15" s="1">
        <v>2.539535E+16</v>
      </c>
      <c r="G15" s="1">
        <v>2.05935E+16</v>
      </c>
      <c r="H15" s="1">
        <v>9.2786659999999997E-3</v>
      </c>
      <c r="I15" s="1">
        <v>6.2660259999999995E-2</v>
      </c>
      <c r="J15" s="2">
        <v>-9067331000000000</v>
      </c>
      <c r="K15" s="1">
        <v>0</v>
      </c>
      <c r="L15" s="2">
        <v>2.372146E+16</v>
      </c>
      <c r="M15" s="1">
        <v>0</v>
      </c>
    </row>
    <row r="16" spans="1:13" x14ac:dyDescent="0.25">
      <c r="A16">
        <v>15</v>
      </c>
      <c r="B16" s="1">
        <v>-5.934419E+17</v>
      </c>
      <c r="C16" s="1">
        <v>1.569221E+18</v>
      </c>
      <c r="D16" s="1">
        <v>-1.373937E+18</v>
      </c>
      <c r="E16" s="1">
        <v>2.534526E+18</v>
      </c>
      <c r="F16" s="1">
        <v>1.496622E+18</v>
      </c>
      <c r="G16" s="1">
        <v>1.039743E+18</v>
      </c>
      <c r="H16" s="1">
        <v>1.2608060000000001E-2</v>
      </c>
      <c r="I16" s="1">
        <v>7.1941279999999996E-2</v>
      </c>
      <c r="J16" s="2">
        <v>-5.934419E+17</v>
      </c>
      <c r="K16" s="1">
        <v>0</v>
      </c>
      <c r="L16" s="2">
        <v>-1.373937E+18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-1.27374E-4</v>
      </c>
      <c r="B20" s="10">
        <f>C3</f>
        <v>5.4983250000000004E-6</v>
      </c>
      <c r="C20" s="11">
        <f>B2/B3/0.000001</f>
        <v>201235.02441628589</v>
      </c>
      <c r="D20" s="12">
        <f>C2/B3/0.000001</f>
        <v>-1524.6800759966711</v>
      </c>
      <c r="E20" s="11">
        <f>D2/B3/0.000001</f>
        <v>-12939.752225728957</v>
      </c>
      <c r="F20" s="11">
        <f>E2/B3/0.000001</f>
        <v>-3350.8855810447976</v>
      </c>
      <c r="G20" s="10">
        <f>H3</f>
        <v>0.1708509</v>
      </c>
      <c r="H20" s="10">
        <f>I3</f>
        <v>0.2619185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0.47373954049630107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-0.50482391164863394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0.67970514522024672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-0.14060518982785364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0.7836010870163197</v>
      </c>
      <c r="C25" s="20">
        <f t="shared" si="1"/>
        <v>6.4687635193931933E-2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0.82260127135069017</v>
      </c>
      <c r="C26" s="20">
        <f t="shared" si="1"/>
        <v>0.17516941348148032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0.82058938866978959</v>
      </c>
      <c r="C27" s="20">
        <f t="shared" si="1"/>
        <v>0.22962114338742534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0.79279296886090966</v>
      </c>
      <c r="C28" s="20">
        <f t="shared" si="1"/>
        <v>0.25121170666507653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0.74886648720886739</v>
      </c>
      <c r="C29" s="20">
        <f t="shared" si="1"/>
        <v>0.25362953099599883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0.69491272127881965</v>
      </c>
      <c r="C30" s="20">
        <f t="shared" si="1"/>
        <v>0.24488165216702562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0.63478878620921919</v>
      </c>
      <c r="C31" s="20">
        <f t="shared" si="1"/>
        <v>0.229609154783147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0.57093841687424729</v>
      </c>
      <c r="C32" s="20">
        <f t="shared" si="1"/>
        <v>0.21047857075002824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0.50491612114581441</v>
      </c>
      <c r="C33" s="20">
        <f t="shared" si="1"/>
        <v>0.18900872631368135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0.43771464818580258</v>
      </c>
      <c r="C34" s="20">
        <f t="shared" si="1"/>
        <v>0.16605795121301564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0.36996919618513791</v>
      </c>
      <c r="C35" s="20">
        <f t="shared" si="1"/>
        <v>0.14210881834301067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0.3020855992864972</v>
      </c>
      <c r="C36" s="20">
        <f t="shared" si="1"/>
        <v>0.11743231647567239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0.2343220933089612</v>
      </c>
      <c r="C37" s="20">
        <f t="shared" si="1"/>
        <v>9.2179818342136413E-2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0.16684269723717265</v>
      </c>
      <c r="C38" s="20">
        <f t="shared" si="1"/>
        <v>6.6431576967480699E-2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9.9752934829002785E-2</v>
      </c>
      <c r="C39" s="20">
        <f t="shared" si="1"/>
        <v>4.0219295749806899E-2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3.3124215922270668E-2</v>
      </c>
      <c r="C40" s="20">
        <f t="shared" si="1"/>
        <v>1.35339237186502E-2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-3.2989282393377471E-2</v>
      </c>
      <c r="C41" s="20">
        <f t="shared" si="1"/>
        <v>-1.367406045569694E-2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-9.8538667824352347E-2</v>
      </c>
      <c r="C42" s="20">
        <f t="shared" si="1"/>
        <v>-4.1497310898900026E-2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-0.16347134167190627</v>
      </c>
      <c r="C43" s="20">
        <f t="shared" si="1"/>
        <v>-7.0074839628477062E-2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-0.22772326150742098</v>
      </c>
      <c r="C44" s="20">
        <f t="shared" si="1"/>
        <v>-9.9595366501149848E-2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-0.29121092955954225</v>
      </c>
      <c r="C45" s="20">
        <f t="shared" si="1"/>
        <v>-0.13030215119368557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-0.35382170486196451</v>
      </c>
      <c r="C46" s="20">
        <f t="shared" si="1"/>
        <v>-0.16250231657068936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-0.41540094913319608</v>
      </c>
      <c r="C47" s="20">
        <f t="shared" si="1"/>
        <v>-0.19658517006277865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-0.47573375439691334</v>
      </c>
      <c r="C48" s="20">
        <f t="shared" si="1"/>
        <v>-0.23305532816356617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-0.53451670448107758</v>
      </c>
      <c r="C49" s="20">
        <f t="shared" si="1"/>
        <v>-0.27258739445521868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-0.59130989666461498</v>
      </c>
      <c r="C50" s="20">
        <f t="shared" si="1"/>
        <v>-0.31610912289278331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-0.64544919705966086</v>
      </c>
      <c r="C51" s="20">
        <f t="shared" si="1"/>
        <v>-0.36491853516912448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-0.69588043262684796</v>
      </c>
      <c r="C52" s="20">
        <f t="shared" si="1"/>
        <v>-0.42083572392614638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-0.7408468257601325</v>
      </c>
      <c r="C53" s="20">
        <f t="shared" si="1"/>
        <v>-0.48637933539446909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-0.77731297713459135</v>
      </c>
      <c r="C54" s="20">
        <f t="shared" si="1"/>
        <v>-0.56493674713514375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-0.79993597252226778</v>
      </c>
      <c r="C55" s="20">
        <f t="shared" si="1"/>
        <v>-0.66085950698081919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-0.79928764392028373</v>
      </c>
      <c r="C56" s="20">
        <f t="shared" si="1"/>
        <v>-0.77935290384777467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-0.75888027108607958</v>
      </c>
      <c r="C57" s="20">
        <f t="shared" si="1"/>
        <v>-0.92592866732872092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-0.65033701729568216</v>
      </c>
      <c r="C58" s="20">
        <f t="shared" si="1"/>
        <v>-1.1050369668578739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31" workbookViewId="0">
      <selection activeCell="A2" sqref="A2:M16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-2.397549E-5</v>
      </c>
      <c r="C2" s="1">
        <v>2.2764930000000001E-7</v>
      </c>
      <c r="D2" s="1">
        <v>3.4862190000000001E-6</v>
      </c>
      <c r="E2" s="1">
        <v>2.6334939999999998E-7</v>
      </c>
      <c r="F2" s="1">
        <v>2.422762E-5</v>
      </c>
      <c r="G2" s="1">
        <v>2.298606E-7</v>
      </c>
      <c r="H2" s="1">
        <v>-0.1442725</v>
      </c>
      <c r="I2" s="1">
        <v>4.0466519999999999E-2</v>
      </c>
      <c r="J2" s="2">
        <v>-2.397549E-5</v>
      </c>
      <c r="K2" s="1">
        <v>0</v>
      </c>
      <c r="L2" s="2">
        <v>3.4862190000000001E-6</v>
      </c>
      <c r="M2" s="1">
        <v>0</v>
      </c>
    </row>
    <row r="3" spans="1:13" x14ac:dyDescent="0.25">
      <c r="A3">
        <v>2</v>
      </c>
      <c r="B3" s="1">
        <v>3.319582E-4</v>
      </c>
      <c r="C3" s="1">
        <v>1.46166E-5</v>
      </c>
      <c r="D3" s="1">
        <v>-3.091387E-5</v>
      </c>
      <c r="E3" s="1">
        <v>1.49869E-5</v>
      </c>
      <c r="F3" s="1">
        <v>3.3339459999999997E-4</v>
      </c>
      <c r="G3" s="1">
        <v>1.425694E-5</v>
      </c>
      <c r="H3" s="1">
        <v>-4.452644E-2</v>
      </c>
      <c r="I3" s="1">
        <v>8.9348520000000001E-2</v>
      </c>
      <c r="J3" s="2">
        <v>3.319582E-4</v>
      </c>
      <c r="K3" s="1">
        <v>0</v>
      </c>
      <c r="L3" s="2">
        <v>-3.091387E-5</v>
      </c>
      <c r="M3" s="1">
        <v>0</v>
      </c>
    </row>
    <row r="4" spans="1:13" x14ac:dyDescent="0.25">
      <c r="A4">
        <v>3</v>
      </c>
      <c r="B4" s="1">
        <v>1.094941E-2</v>
      </c>
      <c r="C4" s="1">
        <v>1.1019420000000001E-3</v>
      </c>
      <c r="D4" s="1">
        <v>-7.7317679999999999E-5</v>
      </c>
      <c r="E4" s="1">
        <v>1.014638E-3</v>
      </c>
      <c r="F4" s="1">
        <v>1.094968E-2</v>
      </c>
      <c r="G4" s="1">
        <v>1.1321300000000001E-3</v>
      </c>
      <c r="H4" s="1">
        <v>3.8012190000000002E-3</v>
      </c>
      <c r="I4" s="1">
        <v>0.1128319</v>
      </c>
      <c r="J4" s="2">
        <v>1.094941E-2</v>
      </c>
      <c r="K4" s="1">
        <v>0</v>
      </c>
      <c r="L4" s="2">
        <v>-7.7317679999999999E-5</v>
      </c>
      <c r="M4" s="1">
        <v>0</v>
      </c>
    </row>
    <row r="5" spans="1:13" x14ac:dyDescent="0.25">
      <c r="A5">
        <v>4</v>
      </c>
      <c r="B5" s="1">
        <v>9.5703449999999995E-2</v>
      </c>
      <c r="C5" s="1">
        <v>5.7109E-2</v>
      </c>
      <c r="D5" s="1">
        <v>-4.0771700000000001E-2</v>
      </c>
      <c r="E5" s="1">
        <v>6.039717E-2</v>
      </c>
      <c r="F5" s="1">
        <v>0.1040263</v>
      </c>
      <c r="G5" s="1">
        <v>3.8600009999999997E-2</v>
      </c>
      <c r="H5" s="1">
        <v>-7.6090560000000002E-2</v>
      </c>
      <c r="I5" s="1">
        <v>0.19137860000000001</v>
      </c>
      <c r="J5" s="2">
        <v>9.5703449999999995E-2</v>
      </c>
      <c r="K5" s="1">
        <v>0</v>
      </c>
      <c r="L5" s="2">
        <v>-4.0771700000000001E-2</v>
      </c>
      <c r="M5" s="1">
        <v>0</v>
      </c>
    </row>
    <row r="6" spans="1:13" x14ac:dyDescent="0.25">
      <c r="A6">
        <v>5</v>
      </c>
      <c r="B6" s="1">
        <v>-1.622811</v>
      </c>
      <c r="C6" s="1">
        <v>1.7947059999999999</v>
      </c>
      <c r="D6" s="1">
        <v>1.382082</v>
      </c>
      <c r="E6" s="1">
        <v>4.06128</v>
      </c>
      <c r="F6" s="1">
        <v>2.1315870000000001</v>
      </c>
      <c r="G6" s="1">
        <v>2.2585869999999999</v>
      </c>
      <c r="H6" s="1">
        <v>-2.0399850000000001E-2</v>
      </c>
      <c r="I6" s="1">
        <v>0.2188243</v>
      </c>
      <c r="J6" s="2">
        <v>-1.622811</v>
      </c>
      <c r="K6" s="1">
        <v>0</v>
      </c>
      <c r="L6" s="2">
        <v>1.382082</v>
      </c>
      <c r="M6" s="1">
        <v>0</v>
      </c>
    </row>
    <row r="7" spans="1:13" x14ac:dyDescent="0.25">
      <c r="A7">
        <v>6</v>
      </c>
      <c r="B7" s="1">
        <v>-284.11939999999998</v>
      </c>
      <c r="C7" s="1">
        <v>166.58430000000001</v>
      </c>
      <c r="D7" s="1">
        <v>375.41759999999999</v>
      </c>
      <c r="E7" s="1">
        <v>109.8319</v>
      </c>
      <c r="F7" s="1">
        <v>470.81020000000001</v>
      </c>
      <c r="G7" s="1">
        <v>103.6444</v>
      </c>
      <c r="H7" s="1">
        <v>-7.618664E-2</v>
      </c>
      <c r="I7" s="1">
        <v>0.1143779</v>
      </c>
      <c r="J7" s="2">
        <v>-284.11939999999998</v>
      </c>
      <c r="K7" s="1">
        <v>0</v>
      </c>
      <c r="L7" s="2">
        <v>375.41759999999999</v>
      </c>
      <c r="M7" s="1">
        <v>0</v>
      </c>
    </row>
    <row r="8" spans="1:13" x14ac:dyDescent="0.25">
      <c r="A8">
        <v>7</v>
      </c>
      <c r="B8" s="1">
        <v>3031.7739999999999</v>
      </c>
      <c r="C8" s="1">
        <v>10950.26</v>
      </c>
      <c r="D8" s="1">
        <v>-1511.163</v>
      </c>
      <c r="E8" s="1">
        <v>10270.790000000001</v>
      </c>
      <c r="F8" s="1">
        <v>3387.5160000000001</v>
      </c>
      <c r="G8" s="1">
        <v>6432.71</v>
      </c>
      <c r="H8" s="1">
        <v>1.864356E-3</v>
      </c>
      <c r="I8" s="1">
        <v>0.1142032</v>
      </c>
      <c r="J8" s="2">
        <v>3031.7739999999999</v>
      </c>
      <c r="K8" s="1">
        <v>0</v>
      </c>
      <c r="L8" s="2">
        <v>-1511.163</v>
      </c>
      <c r="M8" s="1">
        <v>0</v>
      </c>
    </row>
    <row r="9" spans="1:13" x14ac:dyDescent="0.25">
      <c r="A9">
        <v>8</v>
      </c>
      <c r="B9" s="1">
        <v>682613.4</v>
      </c>
      <c r="C9" s="1">
        <v>514624.1</v>
      </c>
      <c r="D9" s="1">
        <v>-706707.7</v>
      </c>
      <c r="E9" s="1">
        <v>700992.5</v>
      </c>
      <c r="F9" s="1">
        <v>982546.1</v>
      </c>
      <c r="G9" s="1">
        <v>350838.9</v>
      </c>
      <c r="H9" s="1">
        <v>9.8667730000000006E-3</v>
      </c>
      <c r="I9" s="1">
        <v>0.1201634</v>
      </c>
      <c r="J9" s="2">
        <v>682613.4</v>
      </c>
      <c r="K9" s="1">
        <v>0</v>
      </c>
      <c r="L9" s="2">
        <v>-706707.7</v>
      </c>
      <c r="M9" s="1">
        <v>0</v>
      </c>
    </row>
    <row r="10" spans="1:13" x14ac:dyDescent="0.25">
      <c r="A10">
        <v>9</v>
      </c>
      <c r="B10" s="1">
        <v>-9030430</v>
      </c>
      <c r="C10" s="1">
        <v>37333480</v>
      </c>
      <c r="D10" s="1">
        <v>-33046720</v>
      </c>
      <c r="E10" s="1">
        <v>30995600</v>
      </c>
      <c r="F10" s="1">
        <v>34258340</v>
      </c>
      <c r="G10" s="1">
        <v>25781470</v>
      </c>
      <c r="H10" s="1">
        <v>7.0634319999999997E-3</v>
      </c>
      <c r="I10" s="1">
        <v>9.2991019999999994E-2</v>
      </c>
      <c r="J10" s="2">
        <v>-9030430</v>
      </c>
      <c r="K10" s="1">
        <v>0</v>
      </c>
      <c r="L10" s="2">
        <v>-33046720</v>
      </c>
      <c r="M10" s="1">
        <v>0</v>
      </c>
    </row>
    <row r="11" spans="1:13" x14ac:dyDescent="0.25">
      <c r="A11">
        <v>10</v>
      </c>
      <c r="B11" s="1">
        <v>-248709800</v>
      </c>
      <c r="C11" s="1">
        <v>1823113000</v>
      </c>
      <c r="D11" s="1">
        <v>-1652569000</v>
      </c>
      <c r="E11" s="1">
        <v>2606985000</v>
      </c>
      <c r="F11" s="1">
        <v>1671179000</v>
      </c>
      <c r="G11" s="1">
        <v>1651317000</v>
      </c>
      <c r="H11" s="1">
        <v>-2.1366840000000002E-2</v>
      </c>
      <c r="I11" s="1">
        <v>0.1109498</v>
      </c>
      <c r="J11" s="2">
        <v>-248709800</v>
      </c>
      <c r="K11" s="1">
        <v>0</v>
      </c>
      <c r="L11" s="2">
        <v>-1652569000</v>
      </c>
      <c r="M11" s="1">
        <v>0</v>
      </c>
    </row>
    <row r="12" spans="1:13" x14ac:dyDescent="0.25">
      <c r="A12">
        <v>11</v>
      </c>
      <c r="B12" s="1">
        <v>-248069600000</v>
      </c>
      <c r="C12" s="1">
        <v>130605000000</v>
      </c>
      <c r="D12" s="1">
        <v>-12902670000</v>
      </c>
      <c r="E12" s="1">
        <v>142862400000</v>
      </c>
      <c r="F12" s="1">
        <v>248405000000</v>
      </c>
      <c r="G12" s="1">
        <v>95490300000</v>
      </c>
      <c r="H12" s="1">
        <v>1.48045E-2</v>
      </c>
      <c r="I12" s="1">
        <v>7.479806E-2</v>
      </c>
      <c r="J12" s="2">
        <v>-248069600000</v>
      </c>
      <c r="K12" s="1">
        <v>0</v>
      </c>
      <c r="L12" s="2">
        <v>-12902670000</v>
      </c>
      <c r="M12" s="1">
        <v>0</v>
      </c>
    </row>
    <row r="13" spans="1:13" x14ac:dyDescent="0.25">
      <c r="A13">
        <v>12</v>
      </c>
      <c r="B13" s="1">
        <v>4903513000000</v>
      </c>
      <c r="C13" s="1">
        <v>8161316000000</v>
      </c>
      <c r="D13" s="1">
        <v>2981258000000</v>
      </c>
      <c r="E13" s="1">
        <v>6582031000000</v>
      </c>
      <c r="F13" s="1">
        <v>5738670000000</v>
      </c>
      <c r="G13" s="1">
        <v>4639034000000</v>
      </c>
      <c r="H13" s="1">
        <v>-1.4882019999999999E-2</v>
      </c>
      <c r="I13" s="1">
        <v>6.5037090000000006E-2</v>
      </c>
      <c r="J13" s="2">
        <v>4903513000000</v>
      </c>
      <c r="K13" s="1">
        <v>0</v>
      </c>
      <c r="L13" s="2">
        <v>2981258000000</v>
      </c>
      <c r="M13" s="1">
        <v>0</v>
      </c>
    </row>
    <row r="14" spans="1:13" x14ac:dyDescent="0.25">
      <c r="A14">
        <v>13</v>
      </c>
      <c r="B14" s="1">
        <v>377700700000000</v>
      </c>
      <c r="C14" s="1">
        <v>503604100000000</v>
      </c>
      <c r="D14" s="1">
        <v>-418376700000000</v>
      </c>
      <c r="E14" s="1">
        <v>450210800000000</v>
      </c>
      <c r="F14" s="1">
        <v>563646000000000</v>
      </c>
      <c r="G14" s="1">
        <v>282813600000000</v>
      </c>
      <c r="H14" s="1">
        <v>-1.517607E-2</v>
      </c>
      <c r="I14" s="1">
        <v>7.4061779999999994E-2</v>
      </c>
      <c r="J14" s="2">
        <v>377700700000000</v>
      </c>
      <c r="K14" s="1">
        <v>0</v>
      </c>
      <c r="L14" s="2">
        <v>-418376700000000</v>
      </c>
      <c r="M14" s="1">
        <v>0</v>
      </c>
    </row>
    <row r="15" spans="1:13" x14ac:dyDescent="0.25">
      <c r="A15">
        <v>14</v>
      </c>
      <c r="B15" s="1">
        <v>3.346236E+16</v>
      </c>
      <c r="C15" s="1">
        <v>2.181009E+16</v>
      </c>
      <c r="D15" s="1">
        <v>1.950308E+16</v>
      </c>
      <c r="E15" s="1">
        <v>2.828677E+16</v>
      </c>
      <c r="F15" s="1">
        <v>3.873112E+16</v>
      </c>
      <c r="G15" s="1">
        <v>1.544869E+16</v>
      </c>
      <c r="H15" s="1">
        <v>8.2100439999999997E-3</v>
      </c>
      <c r="I15" s="1">
        <v>6.6004179999999996E-2</v>
      </c>
      <c r="J15" s="2">
        <v>3.346236E+16</v>
      </c>
      <c r="K15" s="1">
        <v>0</v>
      </c>
      <c r="L15" s="2">
        <v>1.950308E+16</v>
      </c>
      <c r="M15" s="1">
        <v>0</v>
      </c>
    </row>
    <row r="16" spans="1:13" x14ac:dyDescent="0.25">
      <c r="A16">
        <v>15</v>
      </c>
      <c r="B16" s="1">
        <v>-3.223392E+17</v>
      </c>
      <c r="C16" s="1">
        <v>1.624928E+18</v>
      </c>
      <c r="D16" s="1">
        <v>2.030088E+18</v>
      </c>
      <c r="E16" s="1">
        <v>1.964482E+18</v>
      </c>
      <c r="F16" s="1">
        <v>2.05552E+18</v>
      </c>
      <c r="G16" s="1">
        <v>1.331651E+18</v>
      </c>
      <c r="H16" s="1">
        <v>1.1634139999999999E-2</v>
      </c>
      <c r="I16" s="1">
        <v>6.3524449999999996E-2</v>
      </c>
      <c r="J16" s="2">
        <v>-3.223392E+17</v>
      </c>
      <c r="K16" s="1">
        <v>0</v>
      </c>
      <c r="L16" s="2">
        <v>2.030088E+18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3.319582E-4</v>
      </c>
      <c r="B20" s="10">
        <f>C3</f>
        <v>1.46166E-5</v>
      </c>
      <c r="C20" s="11">
        <f>B2/B3/0.000001</f>
        <v>-72224.424641415695</v>
      </c>
      <c r="D20" s="12">
        <f>C2/B3/0.000001</f>
        <v>685.77700445417531</v>
      </c>
      <c r="E20" s="11">
        <f>D2/B3/0.000001</f>
        <v>10501.981876031381</v>
      </c>
      <c r="F20" s="11">
        <f>E2/B3/0.000001</f>
        <v>793.32096631443358</v>
      </c>
      <c r="G20" s="10">
        <f>H3</f>
        <v>-4.452644E-2</v>
      </c>
      <c r="H20" s="10">
        <f>I3</f>
        <v>8.9348520000000001E-2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-0.2934784225599596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5.2558279677606401E-2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-0.36263764344553301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3.4824487774633137E-2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-0.39091834031487438</v>
      </c>
      <c r="C25" s="20">
        <f t="shared" si="1"/>
        <v>2.1139267280060454E-2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-0.39474053462904812</v>
      </c>
      <c r="C26" s="20">
        <f t="shared" si="1"/>
        <v>1.1387590992586434E-2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-0.38421118409030375</v>
      </c>
      <c r="C27" s="20">
        <f t="shared" si="1"/>
        <v>4.8105346671965679E-3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-0.36543457812625607</v>
      </c>
      <c r="C28" s="20">
        <f t="shared" si="1"/>
        <v>5.8270656722860046E-4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-0.34201641124252763</v>
      </c>
      <c r="C29" s="20">
        <f t="shared" si="1"/>
        <v>-1.9758569330242462E-3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-0.31602759196380997</v>
      </c>
      <c r="C30" s="20">
        <f t="shared" si="1"/>
        <v>-3.3631398928399953E-3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-0.28861242177656304</v>
      </c>
      <c r="C31" s="20">
        <f t="shared" si="1"/>
        <v>-3.9276501395586836E-3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-0.26036677176339762</v>
      </c>
      <c r="C32" s="20">
        <f t="shared" si="1"/>
        <v>-3.9162104721755927E-3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-0.23157001644408473</v>
      </c>
      <c r="C33" s="20">
        <f t="shared" si="1"/>
        <v>-3.5141380652518694E-3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-0.2023254488009692</v>
      </c>
      <c r="C34" s="20">
        <f t="shared" si="1"/>
        <v>-2.8714760029488755E-3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-0.17264424596208786</v>
      </c>
      <c r="C35" s="20">
        <f t="shared" si="1"/>
        <v>-2.1165908477940917E-3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-0.14249507246923962</v>
      </c>
      <c r="C36" s="20">
        <f t="shared" si="1"/>
        <v>-1.3609867399935519E-3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-0.11183302520009823</v>
      </c>
      <c r="C37" s="20">
        <f t="shared" si="1"/>
        <v>-6.9915381165872633E-4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-8.061630569558928E-2</v>
      </c>
      <c r="C38" s="20">
        <f t="shared" si="1"/>
        <v>-2.0625015684120579E-4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-4.8815660207422673E-2</v>
      </c>
      <c r="C39" s="20">
        <f t="shared" si="1"/>
        <v>6.4707449276906086E-5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-1.6419519468398324E-2</v>
      </c>
      <c r="C40" s="20">
        <f t="shared" si="1"/>
        <v>8.5301868678906519E-5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1.6563562397311896E-2</v>
      </c>
      <c r="C41" s="20">
        <f t="shared" si="1"/>
        <v>-1.4657146496398535E-4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5.0104389796532235E-2</v>
      </c>
      <c r="C42" s="20">
        <f t="shared" si="1"/>
        <v>-6.0600370538075828E-4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8.4154187702159364E-2</v>
      </c>
      <c r="C43" s="20">
        <f t="shared" si="1"/>
        <v>-1.2417237331592995E-3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0.11864702940234506</v>
      </c>
      <c r="C44" s="20">
        <f t="shared" si="1"/>
        <v>-1.9786090112937573E-3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0.15350328733450425</v>
      </c>
      <c r="C45" s="20">
        <f t="shared" si="1"/>
        <v>-2.7227621530787104E-3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0.18863348267206761</v>
      </c>
      <c r="C46" s="20">
        <f t="shared" si="1"/>
        <v>-3.3700564646657921E-3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0.22394166314416961</v>
      </c>
      <c r="C47" s="20">
        <f t="shared" si="1"/>
        <v>-3.8192042617308563E-3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0.25932754400518776</v>
      </c>
      <c r="C48" s="20">
        <f t="shared" si="1"/>
        <v>-3.9903602410173242E-3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0.29468758053211097</v>
      </c>
      <c r="C49" s="20">
        <f t="shared" si="1"/>
        <v>-3.8496703483172131E-3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0.32991756572520292</v>
      </c>
      <c r="C50" s="20">
        <f t="shared" si="1"/>
        <v>-3.4382617955298193E-3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0.3649241363208186</v>
      </c>
      <c r="C51" s="20">
        <f t="shared" si="1"/>
        <v>-2.8996056391428671E-3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0.39966081960988276</v>
      </c>
      <c r="C52" s="20">
        <f t="shared" si="1"/>
        <v>-2.4898116774209359E-3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0.43421729120475894</v>
      </c>
      <c r="C53" s="20">
        <f t="shared" si="1"/>
        <v>-2.5379812580601864E-3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0.46900990355754896</v>
      </c>
      <c r="C54" s="20">
        <f t="shared" si="1"/>
        <v>-3.2935809321908999E-3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0.5051490827729469</v>
      </c>
      <c r="C55" s="20">
        <f t="shared" si="1"/>
        <v>-4.5484800471298501E-3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0.54509689631159242</v>
      </c>
      <c r="C56" s="20">
        <f t="shared" si="1"/>
        <v>-4.8442370101133237E-3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0.59377819373834451</v>
      </c>
      <c r="C57" s="20">
        <f t="shared" si="1"/>
        <v>4.073987833525999E-5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0.66037363063600996</v>
      </c>
      <c r="C58" s="20">
        <f t="shared" si="1"/>
        <v>1.9798599091144137E-2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D9" sqref="D9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-2.4697459999999999E-5</v>
      </c>
      <c r="C2" s="1">
        <v>1.2180220000000001E-7</v>
      </c>
      <c r="D2" s="1">
        <v>2.669976E-6</v>
      </c>
      <c r="E2" s="1">
        <v>1.9474289999999999E-7</v>
      </c>
      <c r="F2" s="1">
        <v>2.484136E-5</v>
      </c>
      <c r="G2" s="1">
        <v>1.2350439999999999E-7</v>
      </c>
      <c r="H2" s="1">
        <v>-0.1075822</v>
      </c>
      <c r="I2" s="1">
        <v>2.9283010000000002E-2</v>
      </c>
      <c r="J2" s="2">
        <v>-2.4697459999999999E-5</v>
      </c>
      <c r="K2" s="1">
        <v>0</v>
      </c>
      <c r="L2" s="2">
        <v>2.669976E-6</v>
      </c>
      <c r="M2" s="1">
        <v>0</v>
      </c>
    </row>
    <row r="3" spans="1:13" x14ac:dyDescent="0.25">
      <c r="A3">
        <v>2</v>
      </c>
      <c r="B3" s="1">
        <v>2.740857E-4</v>
      </c>
      <c r="C3" s="1">
        <v>6.295411E-6</v>
      </c>
      <c r="D3" s="1">
        <v>-5.4584989999999999E-5</v>
      </c>
      <c r="E3" s="1">
        <v>1.3331739999999999E-5</v>
      </c>
      <c r="F3" s="1">
        <v>2.7946820000000002E-4</v>
      </c>
      <c r="G3" s="1">
        <v>6.9626369999999996E-6</v>
      </c>
      <c r="H3" s="1">
        <v>-9.5058030000000002E-2</v>
      </c>
      <c r="I3" s="1">
        <v>8.6811070000000004E-2</v>
      </c>
      <c r="J3" s="2">
        <v>2.740857E-4</v>
      </c>
      <c r="K3" s="1">
        <v>0</v>
      </c>
      <c r="L3" s="2">
        <v>-5.4584989999999999E-5</v>
      </c>
      <c r="M3" s="1">
        <v>0</v>
      </c>
    </row>
    <row r="4" spans="1:13" x14ac:dyDescent="0.25">
      <c r="A4">
        <v>3</v>
      </c>
      <c r="B4" s="1">
        <v>1.205298E-2</v>
      </c>
      <c r="C4" s="1">
        <v>5.2237370000000004E-4</v>
      </c>
      <c r="D4" s="1">
        <v>1.0461649999999999E-3</v>
      </c>
      <c r="E4" s="1">
        <v>1.0130919999999999E-3</v>
      </c>
      <c r="F4" s="1">
        <v>1.2098289999999999E-2</v>
      </c>
      <c r="G4" s="1">
        <v>4.4370100000000001E-4</v>
      </c>
      <c r="H4" s="1">
        <v>3.0679959999999999E-2</v>
      </c>
      <c r="I4" s="1">
        <v>0.1084227</v>
      </c>
      <c r="J4" s="2">
        <v>1.205298E-2</v>
      </c>
      <c r="K4" s="1">
        <v>0</v>
      </c>
      <c r="L4" s="2">
        <v>1.0461649999999999E-3</v>
      </c>
      <c r="M4" s="1">
        <v>0</v>
      </c>
    </row>
    <row r="5" spans="1:13" x14ac:dyDescent="0.25">
      <c r="A5">
        <v>4</v>
      </c>
      <c r="B5" s="1">
        <v>-5.6783439999999998E-2</v>
      </c>
      <c r="C5" s="1">
        <v>2.7488970000000001E-2</v>
      </c>
      <c r="D5" s="1">
        <v>5.1891960000000001E-2</v>
      </c>
      <c r="E5" s="1">
        <v>4.1475869999999998E-2</v>
      </c>
      <c r="F5" s="1">
        <v>7.6922909999999997E-2</v>
      </c>
      <c r="G5" s="1">
        <v>2.5538689999999999E-2</v>
      </c>
      <c r="H5" s="1">
        <v>-1.057948E-2</v>
      </c>
      <c r="I5" s="1">
        <v>0.22951070000000001</v>
      </c>
      <c r="J5" s="2">
        <v>-5.6783439999999998E-2</v>
      </c>
      <c r="K5" s="1">
        <v>0</v>
      </c>
      <c r="L5" s="2">
        <v>5.1891960000000001E-2</v>
      </c>
      <c r="M5" s="1">
        <v>0</v>
      </c>
    </row>
    <row r="6" spans="1:13" x14ac:dyDescent="0.25">
      <c r="A6">
        <v>5</v>
      </c>
      <c r="B6" s="1">
        <v>0.78271049999999998</v>
      </c>
      <c r="C6" s="1">
        <v>1.9557880000000001</v>
      </c>
      <c r="D6" s="1">
        <v>8.6379419999999998E-2</v>
      </c>
      <c r="E6" s="1">
        <v>3.1487409999999998</v>
      </c>
      <c r="F6" s="1">
        <v>0.78746240000000001</v>
      </c>
      <c r="G6" s="1">
        <v>1.876708</v>
      </c>
      <c r="H6" s="1">
        <v>-8.4941900000000001E-2</v>
      </c>
      <c r="I6" s="1">
        <v>0.19317010000000001</v>
      </c>
      <c r="J6" s="2">
        <v>0.78271049999999998</v>
      </c>
      <c r="K6" s="1">
        <v>0</v>
      </c>
      <c r="L6" s="2">
        <v>8.6379419999999998E-2</v>
      </c>
      <c r="M6" s="1">
        <v>0</v>
      </c>
    </row>
    <row r="7" spans="1:13" x14ac:dyDescent="0.25">
      <c r="A7">
        <v>6</v>
      </c>
      <c r="B7" s="1">
        <v>43.17624</v>
      </c>
      <c r="C7" s="1">
        <v>133.71</v>
      </c>
      <c r="D7" s="1">
        <v>-151.01300000000001</v>
      </c>
      <c r="E7" s="1">
        <v>233.471</v>
      </c>
      <c r="F7" s="1">
        <v>157.06399999999999</v>
      </c>
      <c r="G7" s="1">
        <v>124.10590000000001</v>
      </c>
      <c r="H7" s="1">
        <v>5.0373059999999997E-2</v>
      </c>
      <c r="I7" s="1">
        <v>0.1636156</v>
      </c>
      <c r="J7" s="2">
        <v>43.17624</v>
      </c>
      <c r="K7" s="1">
        <v>0</v>
      </c>
      <c r="L7" s="2">
        <v>-151.01300000000001</v>
      </c>
      <c r="M7" s="1">
        <v>0</v>
      </c>
    </row>
    <row r="8" spans="1:13" x14ac:dyDescent="0.25">
      <c r="A8">
        <v>7</v>
      </c>
      <c r="B8" s="1">
        <v>345.98860000000002</v>
      </c>
      <c r="C8" s="1">
        <v>6035.2979999999998</v>
      </c>
      <c r="D8" s="1">
        <v>7527.5550000000003</v>
      </c>
      <c r="E8" s="1">
        <v>10412.290000000001</v>
      </c>
      <c r="F8" s="1">
        <v>7535.5020000000004</v>
      </c>
      <c r="G8" s="1">
        <v>5263.6589999999997</v>
      </c>
      <c r="H8" s="1">
        <v>8.3393189999999998E-4</v>
      </c>
      <c r="I8" s="1">
        <v>0.14585509999999999</v>
      </c>
      <c r="J8" s="2">
        <v>345.98860000000002</v>
      </c>
      <c r="K8" s="1">
        <v>0</v>
      </c>
      <c r="L8" s="2">
        <v>7527.5550000000003</v>
      </c>
      <c r="M8" s="1">
        <v>0</v>
      </c>
    </row>
    <row r="9" spans="1:13" x14ac:dyDescent="0.25">
      <c r="A9">
        <v>8</v>
      </c>
      <c r="B9" s="1">
        <v>-307650.3</v>
      </c>
      <c r="C9" s="1">
        <v>441445.8</v>
      </c>
      <c r="D9" s="1">
        <v>522091.6</v>
      </c>
      <c r="E9" s="1">
        <v>518492.7</v>
      </c>
      <c r="F9" s="1">
        <v>605993.6</v>
      </c>
      <c r="G9" s="1">
        <v>365312.9</v>
      </c>
      <c r="H9" s="1">
        <v>1.35925E-2</v>
      </c>
      <c r="I9" s="1">
        <v>0.1221537</v>
      </c>
      <c r="J9" s="2">
        <v>-307650.3</v>
      </c>
      <c r="K9" s="1">
        <v>0</v>
      </c>
      <c r="L9" s="2">
        <v>522091.6</v>
      </c>
      <c r="M9" s="1">
        <v>0</v>
      </c>
    </row>
    <row r="10" spans="1:13" x14ac:dyDescent="0.25">
      <c r="A10">
        <v>9</v>
      </c>
      <c r="B10" s="1">
        <v>5466026</v>
      </c>
      <c r="C10" s="1">
        <v>35778920</v>
      </c>
      <c r="D10" s="1">
        <v>4994053</v>
      </c>
      <c r="E10" s="1">
        <v>41406770</v>
      </c>
      <c r="F10" s="1">
        <v>7403918</v>
      </c>
      <c r="G10" s="1">
        <v>24245060</v>
      </c>
      <c r="H10" s="1">
        <v>-1.7486649999999999E-2</v>
      </c>
      <c r="I10" s="1">
        <v>0.1067017</v>
      </c>
      <c r="J10" s="2">
        <v>5466026</v>
      </c>
      <c r="K10" s="1">
        <v>0</v>
      </c>
      <c r="L10" s="2">
        <v>4994053</v>
      </c>
      <c r="M10" s="1">
        <v>0</v>
      </c>
    </row>
    <row r="11" spans="1:13" x14ac:dyDescent="0.25">
      <c r="A11">
        <v>10</v>
      </c>
      <c r="B11" s="1">
        <v>-431254500</v>
      </c>
      <c r="C11" s="1">
        <v>1992861000</v>
      </c>
      <c r="D11" s="1">
        <v>-2128484000</v>
      </c>
      <c r="E11" s="1">
        <v>2171441000</v>
      </c>
      <c r="F11" s="1">
        <v>2171733000</v>
      </c>
      <c r="G11" s="1">
        <v>1262902000</v>
      </c>
      <c r="H11" s="1">
        <v>-1.430825E-2</v>
      </c>
      <c r="I11" s="1">
        <v>9.1798229999999995E-2</v>
      </c>
      <c r="J11" s="2">
        <v>-431254500</v>
      </c>
      <c r="K11" s="1">
        <v>0</v>
      </c>
      <c r="L11" s="2">
        <v>-2128484000</v>
      </c>
      <c r="M11" s="1">
        <v>0</v>
      </c>
    </row>
    <row r="12" spans="1:13" x14ac:dyDescent="0.25">
      <c r="A12">
        <v>11</v>
      </c>
      <c r="B12" s="1">
        <v>132432700000</v>
      </c>
      <c r="C12" s="1">
        <v>84972000000</v>
      </c>
      <c r="D12" s="1">
        <v>119292900000</v>
      </c>
      <c r="E12" s="1">
        <v>97896700000</v>
      </c>
      <c r="F12" s="1">
        <v>178239200000</v>
      </c>
      <c r="G12" s="1">
        <v>48664610000</v>
      </c>
      <c r="H12" s="1">
        <v>8.9638700000000005E-3</v>
      </c>
      <c r="I12" s="1">
        <v>9.3136769999999994E-2</v>
      </c>
      <c r="J12" s="2">
        <v>132432700000</v>
      </c>
      <c r="K12" s="1">
        <v>0</v>
      </c>
      <c r="L12" s="2">
        <v>119292900000</v>
      </c>
      <c r="M12" s="1">
        <v>0</v>
      </c>
    </row>
    <row r="13" spans="1:13" x14ac:dyDescent="0.25">
      <c r="A13">
        <v>12</v>
      </c>
      <c r="B13" s="1">
        <v>-10499520000000</v>
      </c>
      <c r="C13" s="1">
        <v>5945104000000</v>
      </c>
      <c r="D13" s="1">
        <v>8814692000000</v>
      </c>
      <c r="E13" s="1">
        <v>6950051000000</v>
      </c>
      <c r="F13" s="1">
        <v>13709080000000</v>
      </c>
      <c r="G13" s="1">
        <v>3847283000000</v>
      </c>
      <c r="H13" s="1">
        <v>2.3290229999999999E-2</v>
      </c>
      <c r="I13" s="1">
        <v>6.7197690000000004E-2</v>
      </c>
      <c r="J13" s="2">
        <v>-10499520000000</v>
      </c>
      <c r="K13" s="1">
        <v>0</v>
      </c>
      <c r="L13" s="2">
        <v>8814692000000</v>
      </c>
      <c r="M13" s="1">
        <v>0</v>
      </c>
    </row>
    <row r="14" spans="1:13" x14ac:dyDescent="0.25">
      <c r="A14">
        <v>13</v>
      </c>
      <c r="B14" s="1">
        <v>-262135300000000</v>
      </c>
      <c r="C14" s="1">
        <v>347206400000000</v>
      </c>
      <c r="D14" s="1">
        <v>-209035700000000</v>
      </c>
      <c r="E14" s="1">
        <v>421086200000000</v>
      </c>
      <c r="F14" s="1">
        <v>335277200000000</v>
      </c>
      <c r="G14" s="1">
        <v>243192200000000</v>
      </c>
      <c r="H14" s="1">
        <v>-2.2374149999999999E-2</v>
      </c>
      <c r="I14" s="1">
        <v>6.5738009999999999E-2</v>
      </c>
      <c r="J14" s="2">
        <v>-262135300000000</v>
      </c>
      <c r="K14" s="1">
        <v>0</v>
      </c>
      <c r="L14" s="2">
        <v>-209035700000000</v>
      </c>
      <c r="M14" s="1">
        <v>0</v>
      </c>
    </row>
    <row r="15" spans="1:13" x14ac:dyDescent="0.25">
      <c r="A15">
        <v>14</v>
      </c>
      <c r="B15" s="1">
        <v>-1084725000000000</v>
      </c>
      <c r="C15" s="1">
        <v>2.340163E+16</v>
      </c>
      <c r="D15" s="1">
        <v>-1.10269E+16</v>
      </c>
      <c r="E15" s="1">
        <v>1.607856E+16</v>
      </c>
      <c r="F15" s="1">
        <v>1.108013E+16</v>
      </c>
      <c r="G15" s="1">
        <v>1.174199E+16</v>
      </c>
      <c r="H15" s="1">
        <v>3.9936069999999997E-3</v>
      </c>
      <c r="I15" s="1">
        <v>5.178352E-2</v>
      </c>
      <c r="J15" s="2">
        <v>-1084725000000000</v>
      </c>
      <c r="K15" s="1">
        <v>0</v>
      </c>
      <c r="L15" s="2">
        <v>-1.10269E+16</v>
      </c>
      <c r="M15" s="1">
        <v>0</v>
      </c>
    </row>
    <row r="16" spans="1:13" x14ac:dyDescent="0.25">
      <c r="A16">
        <v>15</v>
      </c>
      <c r="B16" s="1">
        <v>-8.748511E+17</v>
      </c>
      <c r="C16" s="1">
        <v>1.487131E+18</v>
      </c>
      <c r="D16" s="1">
        <v>1.234333E+17</v>
      </c>
      <c r="E16" s="1">
        <v>1.209722E+18</v>
      </c>
      <c r="F16" s="1">
        <v>8.835158E+17</v>
      </c>
      <c r="G16" s="1">
        <v>5.987849E+17</v>
      </c>
      <c r="H16" s="1">
        <v>-3.4842559999999998E-3</v>
      </c>
      <c r="I16" s="1">
        <v>6.3299170000000002E-2</v>
      </c>
      <c r="J16" s="2">
        <v>-8.748511E+17</v>
      </c>
      <c r="K16" s="1">
        <v>0</v>
      </c>
      <c r="L16" s="2">
        <v>1.234333E+17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2.740857E-4</v>
      </c>
      <c r="B20" s="10">
        <f>C3</f>
        <v>6.295411E-6</v>
      </c>
      <c r="C20" s="11">
        <f>B2/B3/0.000001</f>
        <v>-90108.531747551955</v>
      </c>
      <c r="D20" s="12">
        <f>C2/B3/0.000001</f>
        <v>444.39458169470356</v>
      </c>
      <c r="E20" s="11">
        <f>D2/B3/0.000001</f>
        <v>9741.3911050448824</v>
      </c>
      <c r="F20" s="11">
        <f>E2/B3/0.000001</f>
        <v>710.51827950163033</v>
      </c>
      <c r="G20" s="10">
        <f>H3</f>
        <v>-9.5058030000000002E-2</v>
      </c>
      <c r="H20" s="10">
        <f>I3</f>
        <v>8.6811070000000004E-2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-0.98139036783662237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-0.11411402506110047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-0.88028278174985342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-8.9506697384238054E-2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-0.79414959831104692</v>
      </c>
      <c r="C25" s="20">
        <f t="shared" si="1"/>
        <v>-7.094797128009353E-2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-0.72002060451269712</v>
      </c>
      <c r="C26" s="20">
        <f t="shared" si="1"/>
        <v>-5.7001336419454873E-2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-0.65481185354833937</v>
      </c>
      <c r="C27" s="20">
        <f t="shared" si="1"/>
        <v>-4.6583044816450259E-2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-0.59587998920093244</v>
      </c>
      <c r="C28" s="20">
        <f t="shared" si="1"/>
        <v>-3.8835828736656641E-2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-0.54119320881446642</v>
      </c>
      <c r="C29" s="20">
        <f t="shared" si="1"/>
        <v>-3.3068344301177707E-2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-0.48930716481339132</v>
      </c>
      <c r="C30" s="20">
        <f t="shared" si="1"/>
        <v>-2.8724192623201396E-2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-0.4392591022591677</v>
      </c>
      <c r="C31" s="20">
        <f t="shared" si="1"/>
        <v>-2.536164235356821E-2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-0.39044336620134795</v>
      </c>
      <c r="C32" s="20">
        <f t="shared" si="1"/>
        <v>-2.2635815983109348E-2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-0.34249932472973255</v>
      </c>
      <c r="C33" s="20">
        <f t="shared" si="1"/>
        <v>-2.0281050952228239E-2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-0.29522343440865356</v>
      </c>
      <c r="C34" s="20">
        <f t="shared" si="1"/>
        <v>-1.809394534821707E-2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-0.24850654584774665</v>
      </c>
      <c r="C35" s="20">
        <f t="shared" si="1"/>
        <v>-1.5918434040051759E-2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-0.20229255233608767</v>
      </c>
      <c r="C36" s="20">
        <f t="shared" si="1"/>
        <v>-1.3633998053195378E-2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-0.15655290273999514</v>
      </c>
      <c r="C37" s="20">
        <f t="shared" si="1"/>
        <v>-1.1147413511890952E-2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-0.11127177839201099</v>
      </c>
      <c r="C38" s="20">
        <f t="shared" si="1"/>
        <v>-8.3877075141279393E-3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-6.6437840609784513E-2</v>
      </c>
      <c r="C39" s="20">
        <f t="shared" si="1"/>
        <v>-5.3034433508060887E-3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-2.2039752588191422E-2</v>
      </c>
      <c r="C40" s="20">
        <f t="shared" si="1"/>
        <v>-1.8612060857825154E-3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2.1936185227372139E-2</v>
      </c>
      <c r="C41" s="20">
        <f t="shared" si="1"/>
        <v>1.9558010233285614E-3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6.550712677632077E-2</v>
      </c>
      <c r="C42" s="20">
        <f t="shared" si="1"/>
        <v>6.1498815239270496E-3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0.1086938562581713</v>
      </c>
      <c r="C43" s="20">
        <f t="shared" si="1"/>
        <v>1.0712163726578272E-2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0.15152019829917446</v>
      </c>
      <c r="C44" s="20">
        <f t="shared" si="1"/>
        <v>1.5627248309793219E-2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0.19401176496647321</v>
      </c>
      <c r="C45" s="20">
        <f t="shared" si="1"/>
        <v>2.0879134118033608E-2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0.23619409069557845</v>
      </c>
      <c r="C46" s="20">
        <f t="shared" si="1"/>
        <v>2.6458420956888381E-2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0.27808992791151332</v>
      </c>
      <c r="C47" s="20">
        <f t="shared" si="1"/>
        <v>3.2371121504130157E-2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0.31971465741412325</v>
      </c>
      <c r="C48" s="20">
        <f t="shared" si="1"/>
        <v>3.8650013395728711E-2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0.36106695241928266</v>
      </c>
      <c r="C49" s="20">
        <f t="shared" si="1"/>
        <v>4.5370235328645231E-2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0.40210835357887814</v>
      </c>
      <c r="C50" s="20">
        <f t="shared" si="1"/>
        <v>5.2671602056808466E-2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0.44271928920812686</v>
      </c>
      <c r="C51" s="20">
        <f t="shared" si="1"/>
        <v>6.0790616393622265E-2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0.48260891876596801</v>
      </c>
      <c r="C52" s="20">
        <f t="shared" si="1"/>
        <v>7.0105031418030705E-2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0.52114004928275892</v>
      </c>
      <c r="C53" s="20">
        <f t="shared" si="1"/>
        <v>8.1192607306781558E-2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0.55700563634670308</v>
      </c>
      <c r="C54" s="20">
        <f t="shared" si="1"/>
        <v>9.4902865290486846E-2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0.5876565265598036</v>
      </c>
      <c r="C55" s="20">
        <f t="shared" si="1"/>
        <v>0.11243552784064718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0.60832656012803654</v>
      </c>
      <c r="C56" s="20">
        <f t="shared" si="1"/>
        <v>0.1354112293720805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0.61042509289679192</v>
      </c>
      <c r="C57" s="20">
        <f t="shared" si="1"/>
        <v>0.16590819404537743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0.57896107801572094</v>
      </c>
      <c r="C58" s="20">
        <f t="shared" si="1"/>
        <v>0.20642205673301703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A20" sqref="A20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-2.5041210000000001E-5</v>
      </c>
      <c r="C2" s="1">
        <v>8.8911839999999998E-8</v>
      </c>
      <c r="D2" s="1">
        <v>2.5353830000000001E-6</v>
      </c>
      <c r="E2" s="1">
        <v>2.4773909999999998E-7</v>
      </c>
      <c r="F2" s="1">
        <v>2.5169239999999999E-5</v>
      </c>
      <c r="G2" s="1">
        <v>9.2574320000000002E-8</v>
      </c>
      <c r="H2" s="1">
        <v>-0.10074909999999999</v>
      </c>
      <c r="I2" s="1">
        <v>3.6703340000000001E-2</v>
      </c>
      <c r="J2" s="2">
        <v>-2.5041210000000001E-5</v>
      </c>
      <c r="K2" s="1">
        <v>0</v>
      </c>
      <c r="L2" s="2">
        <v>2.5353830000000001E-6</v>
      </c>
      <c r="M2" s="1">
        <v>0</v>
      </c>
    </row>
    <row r="3" spans="1:13" x14ac:dyDescent="0.25">
      <c r="A3">
        <v>2</v>
      </c>
      <c r="B3" s="1">
        <v>1.945645E-4</v>
      </c>
      <c r="C3" s="1">
        <v>5.4432620000000003E-6</v>
      </c>
      <c r="D3" s="1">
        <v>-6.8179159999999997E-5</v>
      </c>
      <c r="E3" s="1">
        <v>1.1874159999999999E-5</v>
      </c>
      <c r="F3" s="1">
        <v>2.0616429999999999E-4</v>
      </c>
      <c r="G3" s="1">
        <v>7.0105759999999996E-6</v>
      </c>
      <c r="H3" s="1">
        <v>-0.1625819</v>
      </c>
      <c r="I3" s="1">
        <v>9.7114300000000001E-2</v>
      </c>
      <c r="J3" s="2">
        <v>1.945645E-4</v>
      </c>
      <c r="K3" s="1">
        <v>0</v>
      </c>
      <c r="L3" s="2">
        <v>-6.8179159999999997E-5</v>
      </c>
      <c r="M3" s="1">
        <v>0</v>
      </c>
    </row>
    <row r="4" spans="1:13" x14ac:dyDescent="0.25">
      <c r="A4">
        <v>3</v>
      </c>
      <c r="B4" s="1">
        <v>1.20654E-2</v>
      </c>
      <c r="C4" s="1">
        <v>3.109516E-4</v>
      </c>
      <c r="D4" s="1">
        <v>3.0537750000000002E-4</v>
      </c>
      <c r="E4" s="1">
        <v>8.1656519999999996E-4</v>
      </c>
      <c r="F4" s="1">
        <v>1.206927E-2</v>
      </c>
      <c r="G4" s="1">
        <v>3.4180350000000001E-4</v>
      </c>
      <c r="H4" s="1">
        <v>7.537363E-3</v>
      </c>
      <c r="I4" s="1">
        <v>7.9991919999999994E-2</v>
      </c>
      <c r="J4" s="2">
        <v>1.20654E-2</v>
      </c>
      <c r="K4" s="1">
        <v>0</v>
      </c>
      <c r="L4" s="2">
        <v>3.0537750000000002E-4</v>
      </c>
      <c r="M4" s="1">
        <v>0</v>
      </c>
    </row>
    <row r="5" spans="1:13" x14ac:dyDescent="0.25">
      <c r="A5">
        <v>4</v>
      </c>
      <c r="B5" s="1">
        <v>-7.1408910000000006E-2</v>
      </c>
      <c r="C5" s="1">
        <v>2.847303E-2</v>
      </c>
      <c r="D5" s="1">
        <v>5.5471270000000003E-2</v>
      </c>
      <c r="E5" s="1">
        <v>3.8572759999999998E-2</v>
      </c>
      <c r="F5" s="1">
        <v>9.0422859999999994E-2</v>
      </c>
      <c r="G5" s="1">
        <v>2.1679110000000001E-2</v>
      </c>
      <c r="H5" s="1">
        <v>5.6312549999999999E-3</v>
      </c>
      <c r="I5" s="1">
        <v>0.261073</v>
      </c>
      <c r="J5" s="2">
        <v>-7.1408910000000006E-2</v>
      </c>
      <c r="K5" s="1">
        <v>0</v>
      </c>
      <c r="L5" s="2">
        <v>5.5471270000000003E-2</v>
      </c>
      <c r="M5" s="1">
        <v>0</v>
      </c>
    </row>
    <row r="6" spans="1:13" x14ac:dyDescent="0.25">
      <c r="A6">
        <v>5</v>
      </c>
      <c r="B6" s="1">
        <v>8.42211E-3</v>
      </c>
      <c r="C6" s="1">
        <v>1.1699349999999999</v>
      </c>
      <c r="D6" s="1">
        <v>0.10156759999999999</v>
      </c>
      <c r="E6" s="1">
        <v>2.7457720000000001</v>
      </c>
      <c r="F6" s="1">
        <v>0.1019162</v>
      </c>
      <c r="G6" s="1">
        <v>1.1706840000000001</v>
      </c>
      <c r="H6" s="1">
        <v>-9.5425910000000003E-2</v>
      </c>
      <c r="I6" s="1">
        <v>0.21745059999999999</v>
      </c>
      <c r="J6" s="2">
        <v>8.42211E-3</v>
      </c>
      <c r="K6" s="1">
        <v>0</v>
      </c>
      <c r="L6" s="2">
        <v>0.10156759999999999</v>
      </c>
      <c r="M6" s="1">
        <v>0</v>
      </c>
    </row>
    <row r="7" spans="1:13" x14ac:dyDescent="0.25">
      <c r="A7">
        <v>6</v>
      </c>
      <c r="B7" s="1">
        <v>94.309809999999999</v>
      </c>
      <c r="C7" s="1">
        <v>107.774</v>
      </c>
      <c r="D7" s="1">
        <v>51.607259999999997</v>
      </c>
      <c r="E7" s="1">
        <v>163.143</v>
      </c>
      <c r="F7" s="1">
        <v>107.5065</v>
      </c>
      <c r="G7" s="1">
        <v>75.600139999999996</v>
      </c>
      <c r="H7" s="1">
        <v>3.6247689999999999E-2</v>
      </c>
      <c r="I7" s="1">
        <v>0.15706539999999999</v>
      </c>
      <c r="J7" s="2">
        <v>94.309809999999999</v>
      </c>
      <c r="K7" s="1">
        <v>0</v>
      </c>
      <c r="L7" s="2">
        <v>51.607259999999997</v>
      </c>
      <c r="M7" s="1">
        <v>0</v>
      </c>
    </row>
    <row r="8" spans="1:13" x14ac:dyDescent="0.25">
      <c r="A8">
        <v>7</v>
      </c>
      <c r="B8" s="1">
        <v>34.014710000000001</v>
      </c>
      <c r="C8" s="1">
        <v>5560.3729999999996</v>
      </c>
      <c r="D8" s="1">
        <v>6566.4030000000002</v>
      </c>
      <c r="E8" s="1">
        <v>10959.9</v>
      </c>
      <c r="F8" s="1">
        <v>6566.491</v>
      </c>
      <c r="G8" s="1">
        <v>5712.3729999999996</v>
      </c>
      <c r="H8" s="1">
        <v>-4.5032629999999997E-2</v>
      </c>
      <c r="I8" s="1">
        <v>0.13800870000000001</v>
      </c>
      <c r="J8" s="2">
        <v>34.014710000000001</v>
      </c>
      <c r="K8" s="1">
        <v>0</v>
      </c>
      <c r="L8" s="2">
        <v>6566.4030000000002</v>
      </c>
      <c r="M8" s="1">
        <v>0</v>
      </c>
    </row>
    <row r="9" spans="1:13" x14ac:dyDescent="0.25">
      <c r="A9">
        <v>8</v>
      </c>
      <c r="B9" s="1">
        <v>-214303.1</v>
      </c>
      <c r="C9" s="1">
        <v>594592.9</v>
      </c>
      <c r="D9" s="1">
        <v>-370936.6</v>
      </c>
      <c r="E9" s="1">
        <v>426330.6</v>
      </c>
      <c r="F9" s="1">
        <v>428392.1</v>
      </c>
      <c r="G9" s="1">
        <v>288072.8</v>
      </c>
      <c r="H9" s="1">
        <v>4.2308500000000004E-3</v>
      </c>
      <c r="I9" s="1">
        <v>9.7198300000000001E-2</v>
      </c>
      <c r="J9" s="2">
        <v>-214303.1</v>
      </c>
      <c r="K9" s="1">
        <v>0</v>
      </c>
      <c r="L9" s="2">
        <v>-370936.6</v>
      </c>
      <c r="M9" s="1">
        <v>0</v>
      </c>
    </row>
    <row r="10" spans="1:13" x14ac:dyDescent="0.25">
      <c r="A10">
        <v>9</v>
      </c>
      <c r="B10" s="1">
        <v>31103890</v>
      </c>
      <c r="C10" s="1">
        <v>29011300</v>
      </c>
      <c r="D10" s="1">
        <v>39678520</v>
      </c>
      <c r="E10" s="1">
        <v>35981760</v>
      </c>
      <c r="F10" s="1">
        <v>50416630</v>
      </c>
      <c r="G10" s="1">
        <v>20286500</v>
      </c>
      <c r="H10" s="1">
        <v>7.1020270000000003E-3</v>
      </c>
      <c r="I10" s="1">
        <v>0.1118498</v>
      </c>
      <c r="J10" s="2">
        <v>31103890</v>
      </c>
      <c r="K10" s="1">
        <v>0</v>
      </c>
      <c r="L10" s="2">
        <v>39678520</v>
      </c>
      <c r="M10" s="1">
        <v>0</v>
      </c>
    </row>
    <row r="11" spans="1:13" x14ac:dyDescent="0.25">
      <c r="A11">
        <v>10</v>
      </c>
      <c r="B11" s="1">
        <v>1945669000</v>
      </c>
      <c r="C11" s="1">
        <v>1639585000</v>
      </c>
      <c r="D11" s="1">
        <v>1358006000</v>
      </c>
      <c r="E11" s="1">
        <v>1698387000</v>
      </c>
      <c r="F11" s="1">
        <v>2372722000</v>
      </c>
      <c r="G11" s="1">
        <v>1335170000</v>
      </c>
      <c r="H11" s="1">
        <v>3.3524310000000002E-2</v>
      </c>
      <c r="I11" s="1">
        <v>9.9694050000000006E-2</v>
      </c>
      <c r="J11" s="2">
        <v>1945669000</v>
      </c>
      <c r="K11" s="1">
        <v>0</v>
      </c>
      <c r="L11" s="2">
        <v>1358006000</v>
      </c>
      <c r="M11" s="1">
        <v>0</v>
      </c>
    </row>
    <row r="12" spans="1:13" x14ac:dyDescent="0.25">
      <c r="A12">
        <v>11</v>
      </c>
      <c r="B12" s="1">
        <v>-9723930000</v>
      </c>
      <c r="C12" s="1">
        <v>102983800000</v>
      </c>
      <c r="D12" s="1">
        <v>66408120000</v>
      </c>
      <c r="E12" s="1">
        <v>164825200000</v>
      </c>
      <c r="F12" s="1">
        <v>67116260000</v>
      </c>
      <c r="G12" s="1">
        <v>94466180000</v>
      </c>
      <c r="H12" s="1">
        <v>-8.7322149999999998E-3</v>
      </c>
      <c r="I12" s="1">
        <v>9.8303310000000005E-2</v>
      </c>
      <c r="J12" s="2">
        <v>-9723930000</v>
      </c>
      <c r="K12" s="1">
        <v>0</v>
      </c>
      <c r="L12" s="2">
        <v>66408120000</v>
      </c>
      <c r="M12" s="1">
        <v>0</v>
      </c>
    </row>
    <row r="13" spans="1:13" x14ac:dyDescent="0.25">
      <c r="A13">
        <v>12</v>
      </c>
      <c r="B13" s="1">
        <v>6171179000000</v>
      </c>
      <c r="C13" s="1">
        <v>6785624000000</v>
      </c>
      <c r="D13" s="1">
        <v>-9231474000000</v>
      </c>
      <c r="E13" s="1">
        <v>4912991000000</v>
      </c>
      <c r="F13" s="1">
        <v>11104210000000</v>
      </c>
      <c r="G13" s="1">
        <v>4381151000000</v>
      </c>
      <c r="H13" s="1">
        <v>5.4900979999999997E-3</v>
      </c>
      <c r="I13" s="1">
        <v>7.2846330000000001E-2</v>
      </c>
      <c r="J13" s="2">
        <v>6171179000000</v>
      </c>
      <c r="K13" s="1">
        <v>0</v>
      </c>
      <c r="L13" s="2">
        <v>-9231474000000</v>
      </c>
      <c r="M13" s="1">
        <v>0</v>
      </c>
    </row>
    <row r="14" spans="1:13" x14ac:dyDescent="0.25">
      <c r="A14">
        <v>13</v>
      </c>
      <c r="B14" s="1">
        <v>647892500000000</v>
      </c>
      <c r="C14" s="1">
        <v>269180400000000</v>
      </c>
      <c r="D14" s="1">
        <v>360135800000000</v>
      </c>
      <c r="E14" s="1">
        <v>452866000000000</v>
      </c>
      <c r="F14" s="1">
        <v>741257400000000</v>
      </c>
      <c r="G14" s="1">
        <v>276419500000000</v>
      </c>
      <c r="H14" s="1">
        <v>-3.4654389999999998E-3</v>
      </c>
      <c r="I14" s="1">
        <v>8.2085240000000004E-2</v>
      </c>
      <c r="J14" s="2">
        <v>647892500000000</v>
      </c>
      <c r="K14" s="1">
        <v>0</v>
      </c>
      <c r="L14" s="2">
        <v>360135800000000</v>
      </c>
      <c r="M14" s="1">
        <v>0</v>
      </c>
    </row>
    <row r="15" spans="1:13" x14ac:dyDescent="0.25">
      <c r="A15">
        <v>14</v>
      </c>
      <c r="B15" s="1">
        <v>-3077466000000000</v>
      </c>
      <c r="C15" s="1">
        <v>1.916212E+16</v>
      </c>
      <c r="D15" s="1">
        <v>2792722000000000</v>
      </c>
      <c r="E15" s="1">
        <v>2.680238E+16</v>
      </c>
      <c r="F15" s="1">
        <v>4155731000000000</v>
      </c>
      <c r="G15" s="1">
        <v>1.368195E+16</v>
      </c>
      <c r="H15" s="1">
        <v>1.689005E-2</v>
      </c>
      <c r="I15" s="1">
        <v>6.9820709999999994E-2</v>
      </c>
      <c r="J15" s="2">
        <v>-3077466000000000</v>
      </c>
      <c r="K15" s="1">
        <v>0</v>
      </c>
      <c r="L15" s="2">
        <v>2792722000000000</v>
      </c>
      <c r="M15" s="1">
        <v>0</v>
      </c>
    </row>
    <row r="16" spans="1:13" x14ac:dyDescent="0.25">
      <c r="A16">
        <v>15</v>
      </c>
      <c r="B16" s="1">
        <v>2.135386E+17</v>
      </c>
      <c r="C16" s="1">
        <v>1.768251E+18</v>
      </c>
      <c r="D16" s="1">
        <v>5.263266E+17</v>
      </c>
      <c r="E16" s="1">
        <v>1.638436E+18</v>
      </c>
      <c r="F16" s="1">
        <v>5.679951E+17</v>
      </c>
      <c r="G16" s="1">
        <v>1.127768E+18</v>
      </c>
      <c r="H16" s="1">
        <v>-2.5956480000000001E-2</v>
      </c>
      <c r="I16" s="1">
        <v>5.3474149999999998E-2</v>
      </c>
      <c r="J16" s="2">
        <v>2.135386E+17</v>
      </c>
      <c r="K16" s="1">
        <v>0</v>
      </c>
      <c r="L16" s="2">
        <v>5.263266E+17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1.945645E-4</v>
      </c>
      <c r="B20" s="10">
        <f>C3</f>
        <v>5.4432620000000003E-6</v>
      </c>
      <c r="C20" s="11">
        <f>B2/B3/0.000001</f>
        <v>-128703.90024901768</v>
      </c>
      <c r="D20" s="12">
        <f>C2/B3/0.000001</f>
        <v>456.9787396981464</v>
      </c>
      <c r="E20" s="11">
        <f>D2/B3/0.000001</f>
        <v>13031.066818458661</v>
      </c>
      <c r="F20" s="11">
        <f>E2/B3/0.000001</f>
        <v>1273.3006278123707</v>
      </c>
      <c r="G20" s="10">
        <f>H3</f>
        <v>-0.1625819</v>
      </c>
      <c r="H20" s="10">
        <f>I3</f>
        <v>9.7114300000000001E-2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-1.2694421664628364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-0.36417232279451367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-1.1521447011307759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-0.20018084536621639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-1.0576838751510529</v>
      </c>
      <c r="C25" s="20">
        <f t="shared" si="1"/>
        <v>-0.10354807108011808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-0.97553267336437288</v>
      </c>
      <c r="C26" s="20">
        <f t="shared" si="1"/>
        <v>-4.8216759850719951E-2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-0.89987963015756167</v>
      </c>
      <c r="C27" s="20">
        <f t="shared" si="1"/>
        <v>-1.7802402296267488E-2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-0.82764900456719792</v>
      </c>
      <c r="C28" s="20">
        <f t="shared" si="1"/>
        <v>-2.1517074811578272E-3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-0.75728685411295726</v>
      </c>
      <c r="C29" s="20">
        <f t="shared" si="1"/>
        <v>4.9419544452168245E-3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-0.68804650968830139</v>
      </c>
      <c r="C30" s="20">
        <f t="shared" si="1"/>
        <v>7.2275968462581107E-3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-0.61958807611140887</v>
      </c>
      <c r="C31" s="20">
        <f t="shared" si="1"/>
        <v>6.9482882470126E-3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-0.55176677662664475</v>
      </c>
      <c r="C32" s="20">
        <f t="shared" si="1"/>
        <v>5.4369518138448585E-3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-0.48452862653231366</v>
      </c>
      <c r="C33" s="20">
        <f t="shared" si="1"/>
        <v>3.4816908151505555E-3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-0.41786274393978612</v>
      </c>
      <c r="C34" s="20">
        <f t="shared" si="1"/>
        <v>1.5455570535409212E-3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-0.35178063431906181</v>
      </c>
      <c r="C35" s="20">
        <f t="shared" si="1"/>
        <v>-1.0307026452410496E-4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-0.28630651630034243</v>
      </c>
      <c r="C36" s="20">
        <f t="shared" si="1"/>
        <v>-1.3133803757281307E-3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-0.22147120449363331</v>
      </c>
      <c r="C37" s="20">
        <f t="shared" si="1"/>
        <v>-2.0058751731054768E-3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-0.15730683080945049</v>
      </c>
      <c r="C38" s="20">
        <f t="shared" si="1"/>
        <v>-2.1436269422217022E-3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-9.3842012335004887E-2</v>
      </c>
      <c r="C39" s="20">
        <f t="shared" si="1"/>
        <v>-1.7135302507673273E-3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-3.1097900133618239E-2</v>
      </c>
      <c r="C40" s="20">
        <f t="shared" si="1"/>
        <v>-7.1354545303510737E-4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3.0914451082247867E-2</v>
      </c>
      <c r="C41" s="20">
        <f t="shared" si="1"/>
        <v>8.5613094178730307E-4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9.2195309108956777E-2</v>
      </c>
      <c r="C42" s="20">
        <f t="shared" si="1"/>
        <v>2.9991443101284134E-3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0.15275645288218456</v>
      </c>
      <c r="C43" s="20">
        <f t="shared" si="1"/>
        <v>5.7272485143108048E-3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0.21262112936000971</v>
      </c>
      <c r="C44" s="20">
        <f t="shared" si="1"/>
        <v>9.0638280416631117E-3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0.27182505574596272</v>
      </c>
      <c r="C45" s="20">
        <f t="shared" si="1"/>
        <v>1.3048022185441694E-2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0.33042042663634885</v>
      </c>
      <c r="C46" s="20">
        <f t="shared" si="1"/>
        <v>1.7741102342300169E-2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0.38848609027823766</v>
      </c>
      <c r="C47" s="20">
        <f t="shared" si="1"/>
        <v>2.3237052376686974E-2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0.44614923031664266</v>
      </c>
      <c r="C48" s="20">
        <f t="shared" si="1"/>
        <v>2.967969348508006E-2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0.50362761875522599</v>
      </c>
      <c r="C49" s="20">
        <f t="shared" si="1"/>
        <v>3.728945542042341E-2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0.56130754234026314</v>
      </c>
      <c r="C50" s="20">
        <f t="shared" si="1"/>
        <v>4.6404545515668805E-2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0.61988178178853093</v>
      </c>
      <c r="C51" s="20">
        <f t="shared" si="1"/>
        <v>5.7544652427350254E-2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0.68058568841441014</v>
      </c>
      <c r="C52" s="20">
        <f t="shared" si="1"/>
        <v>7.151171572744211E-2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0.74558885342649428</v>
      </c>
      <c r="C53" s="20">
        <f t="shared" si="1"/>
        <v>8.9553510663802585E-2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0.81862679325532084</v>
      </c>
      <c r="C54" s="20">
        <f t="shared" si="1"/>
        <v>0.1136343304965784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0.9059935161916649</v>
      </c>
      <c r="C55" s="20">
        <f t="shared" si="1"/>
        <v>0.14688621341947766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1.0180642298126699</v>
      </c>
      <c r="C56" s="20">
        <f t="shared" si="1"/>
        <v>0.19435826642272352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1.1715806997915974</v>
      </c>
      <c r="C57" s="20">
        <f t="shared" si="1"/>
        <v>0.2642461701415153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1.3930133205714217</v>
      </c>
      <c r="C58" s="20">
        <f t="shared" si="1"/>
        <v>0.36987576930694405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A20" sqref="A20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-2.525818E-5</v>
      </c>
      <c r="C2" s="1">
        <v>8.3069920000000003E-8</v>
      </c>
      <c r="D2" s="1">
        <v>2.6344039999999998E-6</v>
      </c>
      <c r="E2" s="1">
        <v>1.386072E-7</v>
      </c>
      <c r="F2" s="1">
        <v>2.539519E-5</v>
      </c>
      <c r="G2" s="1">
        <v>7.9337019999999997E-8</v>
      </c>
      <c r="H2" s="1">
        <v>-0.1039568</v>
      </c>
      <c r="I2" s="1">
        <v>2.080777E-2</v>
      </c>
      <c r="J2" s="2">
        <v>-2.525818E-5</v>
      </c>
      <c r="K2" s="1">
        <v>0</v>
      </c>
      <c r="L2" s="2">
        <v>2.6344039999999998E-6</v>
      </c>
      <c r="M2" s="1">
        <v>0</v>
      </c>
    </row>
    <row r="3" spans="1:13" x14ac:dyDescent="0.25">
      <c r="A3">
        <v>2</v>
      </c>
      <c r="B3" s="1">
        <v>3.2189749999999998E-5</v>
      </c>
      <c r="C3" s="1">
        <v>6.1187280000000003E-6</v>
      </c>
      <c r="D3" s="1">
        <v>-5.5681289999999998E-5</v>
      </c>
      <c r="E3" s="1">
        <v>7.5441159999999999E-6</v>
      </c>
      <c r="F3" s="1">
        <v>6.4316300000000006E-5</v>
      </c>
      <c r="G3" s="1">
        <v>7.4689130000000003E-6</v>
      </c>
      <c r="H3" s="1">
        <v>-0.42295890000000003</v>
      </c>
      <c r="I3" s="1">
        <v>0.3461901</v>
      </c>
      <c r="J3" s="2">
        <v>3.2189749999999998E-5</v>
      </c>
      <c r="K3" s="1">
        <v>0</v>
      </c>
      <c r="L3" s="2">
        <v>-5.5681289999999998E-5</v>
      </c>
      <c r="M3" s="1">
        <v>0</v>
      </c>
    </row>
    <row r="4" spans="1:13" x14ac:dyDescent="0.25">
      <c r="A4">
        <v>3</v>
      </c>
      <c r="B4" s="1">
        <v>1.2459059999999999E-2</v>
      </c>
      <c r="C4" s="1">
        <v>3.3725109999999998E-4</v>
      </c>
      <c r="D4" s="1">
        <v>4.7793169999999998E-4</v>
      </c>
      <c r="E4" s="1">
        <v>4.8978689999999996E-4</v>
      </c>
      <c r="F4" s="1">
        <v>1.246822E-2</v>
      </c>
      <c r="G4" s="1">
        <v>3.450994E-4</v>
      </c>
      <c r="H4" s="1">
        <v>1.2852590000000001E-2</v>
      </c>
      <c r="I4" s="1">
        <v>4.759091E-2</v>
      </c>
      <c r="J4" s="2">
        <v>1.2459059999999999E-2</v>
      </c>
      <c r="K4" s="1">
        <v>0</v>
      </c>
      <c r="L4" s="2">
        <v>4.7793169999999998E-4</v>
      </c>
      <c r="M4" s="1">
        <v>0</v>
      </c>
    </row>
    <row r="5" spans="1:13" x14ac:dyDescent="0.25">
      <c r="A5">
        <v>4</v>
      </c>
      <c r="B5" s="1">
        <v>-2.853671E-2</v>
      </c>
      <c r="C5" s="1">
        <v>2.316503E-2</v>
      </c>
      <c r="D5" s="1">
        <v>1.6633800000000001E-2</v>
      </c>
      <c r="E5" s="1">
        <v>2.8349309999999999E-2</v>
      </c>
      <c r="F5" s="1">
        <v>3.3030700000000003E-2</v>
      </c>
      <c r="G5" s="1">
        <v>1.643126E-2</v>
      </c>
      <c r="H5" s="1">
        <v>0.15792970000000001</v>
      </c>
      <c r="I5" s="1">
        <v>0.16574829999999999</v>
      </c>
      <c r="J5" s="2">
        <v>-2.853671E-2</v>
      </c>
      <c r="K5" s="1">
        <v>0</v>
      </c>
      <c r="L5" s="2">
        <v>1.6633800000000001E-2</v>
      </c>
      <c r="M5" s="1">
        <v>0</v>
      </c>
    </row>
    <row r="6" spans="1:13" x14ac:dyDescent="0.25">
      <c r="A6">
        <v>5</v>
      </c>
      <c r="B6" s="1">
        <v>-1.3762490000000001</v>
      </c>
      <c r="C6" s="1">
        <v>1.179125</v>
      </c>
      <c r="D6" s="1">
        <v>-0.53593190000000002</v>
      </c>
      <c r="E6" s="1">
        <v>1.62721</v>
      </c>
      <c r="F6" s="1">
        <v>1.476917</v>
      </c>
      <c r="G6" s="1">
        <v>0.67948710000000001</v>
      </c>
      <c r="H6" s="1">
        <v>-9.6838860000000003E-4</v>
      </c>
      <c r="I6" s="1">
        <v>0.2030247</v>
      </c>
      <c r="J6" s="2">
        <v>-1.3762490000000001</v>
      </c>
      <c r="K6" s="1">
        <v>0</v>
      </c>
      <c r="L6" s="2">
        <v>-0.53593190000000002</v>
      </c>
      <c r="M6" s="1">
        <v>0</v>
      </c>
    </row>
    <row r="7" spans="1:13" x14ac:dyDescent="0.25">
      <c r="A7">
        <v>6</v>
      </c>
      <c r="B7" s="1">
        <v>-152.69110000000001</v>
      </c>
      <c r="C7" s="1">
        <v>101.8784</v>
      </c>
      <c r="D7" s="1">
        <v>-62.586199999999998</v>
      </c>
      <c r="E7" s="1">
        <v>94.070880000000002</v>
      </c>
      <c r="F7" s="1">
        <v>165.02</v>
      </c>
      <c r="G7" s="1">
        <v>60.421860000000002</v>
      </c>
      <c r="H7" s="1">
        <v>2.064589E-2</v>
      </c>
      <c r="I7" s="1">
        <v>0.1474268</v>
      </c>
      <c r="J7" s="2">
        <v>-152.69110000000001</v>
      </c>
      <c r="K7" s="1">
        <v>0</v>
      </c>
      <c r="L7" s="2">
        <v>-62.586199999999998</v>
      </c>
      <c r="M7" s="1">
        <v>0</v>
      </c>
    </row>
    <row r="8" spans="1:13" x14ac:dyDescent="0.25">
      <c r="A8">
        <v>7</v>
      </c>
      <c r="B8" s="1">
        <v>-3222.6970000000001</v>
      </c>
      <c r="C8" s="1">
        <v>6520.768</v>
      </c>
      <c r="D8" s="1">
        <v>6544.4470000000001</v>
      </c>
      <c r="E8" s="1">
        <v>7366.39</v>
      </c>
      <c r="F8" s="1">
        <v>7294.9</v>
      </c>
      <c r="G8" s="1">
        <v>3786.7620000000002</v>
      </c>
      <c r="H8" s="1">
        <v>-1.028836E-2</v>
      </c>
      <c r="I8" s="1">
        <v>0.14752319999999999</v>
      </c>
      <c r="J8" s="2">
        <v>-3222.6970000000001</v>
      </c>
      <c r="K8" s="1">
        <v>0</v>
      </c>
      <c r="L8" s="2">
        <v>6544.4470000000001</v>
      </c>
      <c r="M8" s="1">
        <v>0</v>
      </c>
    </row>
    <row r="9" spans="1:13" x14ac:dyDescent="0.25">
      <c r="A9">
        <v>8</v>
      </c>
      <c r="B9" s="1">
        <v>313491.5</v>
      </c>
      <c r="C9" s="1">
        <v>254864.9</v>
      </c>
      <c r="D9" s="1">
        <v>-220257.9</v>
      </c>
      <c r="E9" s="1">
        <v>426832.8</v>
      </c>
      <c r="F9" s="1">
        <v>383132.4</v>
      </c>
      <c r="G9" s="1">
        <v>239402.8</v>
      </c>
      <c r="H9" s="1">
        <v>2.434482E-2</v>
      </c>
      <c r="I9" s="1">
        <v>0.1241539</v>
      </c>
      <c r="J9" s="2">
        <v>313491.5</v>
      </c>
      <c r="K9" s="1">
        <v>0</v>
      </c>
      <c r="L9" s="2">
        <v>-220257.9</v>
      </c>
      <c r="M9" s="1">
        <v>0</v>
      </c>
    </row>
    <row r="10" spans="1:13" x14ac:dyDescent="0.25">
      <c r="A10">
        <v>9</v>
      </c>
      <c r="B10" s="1">
        <v>16340250</v>
      </c>
      <c r="C10" s="1">
        <v>26039550</v>
      </c>
      <c r="D10" s="1">
        <v>28531640</v>
      </c>
      <c r="E10" s="1">
        <v>23116390</v>
      </c>
      <c r="F10" s="1">
        <v>32879450</v>
      </c>
      <c r="G10" s="1">
        <v>15161220</v>
      </c>
      <c r="H10" s="1">
        <v>-6.0498669999999996E-3</v>
      </c>
      <c r="I10" s="1">
        <v>0.1077153</v>
      </c>
      <c r="J10" s="2">
        <v>16340250</v>
      </c>
      <c r="K10" s="1">
        <v>0</v>
      </c>
      <c r="L10" s="2">
        <v>28531640</v>
      </c>
      <c r="M10" s="1">
        <v>0</v>
      </c>
    </row>
    <row r="11" spans="1:13" x14ac:dyDescent="0.25">
      <c r="A11">
        <v>10</v>
      </c>
      <c r="B11" s="1">
        <v>-1663623000</v>
      </c>
      <c r="C11" s="1">
        <v>1033737000</v>
      </c>
      <c r="D11" s="1">
        <v>-1550900000</v>
      </c>
      <c r="E11" s="1">
        <v>1320526000</v>
      </c>
      <c r="F11" s="1">
        <v>2274408000</v>
      </c>
      <c r="G11" s="1">
        <v>709565300</v>
      </c>
      <c r="H11" s="1">
        <v>-1.5809529999999999E-2</v>
      </c>
      <c r="I11" s="1">
        <v>8.587736E-2</v>
      </c>
      <c r="J11" s="2">
        <v>-1663623000</v>
      </c>
      <c r="K11" s="1">
        <v>0</v>
      </c>
      <c r="L11" s="2">
        <v>-1550900000</v>
      </c>
      <c r="M11" s="1">
        <v>0</v>
      </c>
    </row>
    <row r="12" spans="1:13" x14ac:dyDescent="0.25">
      <c r="A12">
        <v>11</v>
      </c>
      <c r="B12" s="1">
        <v>-111547300000</v>
      </c>
      <c r="C12" s="1">
        <v>73551580000</v>
      </c>
      <c r="D12" s="1">
        <v>81321760000</v>
      </c>
      <c r="E12" s="1">
        <v>124352600000</v>
      </c>
      <c r="F12" s="1">
        <v>138043600000</v>
      </c>
      <c r="G12" s="1">
        <v>79428190000</v>
      </c>
      <c r="H12" s="1">
        <v>-1.0463399999999999E-2</v>
      </c>
      <c r="I12" s="1">
        <v>8.8524309999999995E-2</v>
      </c>
      <c r="J12" s="2">
        <v>-111547300000</v>
      </c>
      <c r="K12" s="1">
        <v>0</v>
      </c>
      <c r="L12" s="2">
        <v>81321760000</v>
      </c>
      <c r="M12" s="1">
        <v>0</v>
      </c>
    </row>
    <row r="13" spans="1:13" x14ac:dyDescent="0.25">
      <c r="A13">
        <v>12</v>
      </c>
      <c r="B13" s="1">
        <v>3379124000000</v>
      </c>
      <c r="C13" s="1">
        <v>5980174000000</v>
      </c>
      <c r="D13" s="1">
        <v>-3997043000000</v>
      </c>
      <c r="E13" s="1">
        <v>4113347000000</v>
      </c>
      <c r="F13" s="1">
        <v>5234007000000</v>
      </c>
      <c r="G13" s="1">
        <v>4531304000000</v>
      </c>
      <c r="H13" s="1">
        <v>3.4218450000000002E-3</v>
      </c>
      <c r="I13" s="1">
        <v>6.845271E-2</v>
      </c>
      <c r="J13" s="2">
        <v>3379124000000</v>
      </c>
      <c r="K13" s="1">
        <v>0</v>
      </c>
      <c r="L13" s="2">
        <v>-3997043000000</v>
      </c>
      <c r="M13" s="1">
        <v>0</v>
      </c>
    </row>
    <row r="14" spans="1:13" x14ac:dyDescent="0.25">
      <c r="A14">
        <v>13</v>
      </c>
      <c r="B14" s="1">
        <v>-263296100000000</v>
      </c>
      <c r="C14" s="1">
        <v>405658100000000</v>
      </c>
      <c r="D14" s="1">
        <v>192060500000000</v>
      </c>
      <c r="E14" s="1">
        <v>393456500000000</v>
      </c>
      <c r="F14" s="1">
        <v>325902000000000</v>
      </c>
      <c r="G14" s="1">
        <v>241990900000000</v>
      </c>
      <c r="H14" s="1">
        <v>2.520296E-2</v>
      </c>
      <c r="I14" s="1">
        <v>5.664483E-2</v>
      </c>
      <c r="J14" s="2">
        <v>-263296100000000</v>
      </c>
      <c r="K14" s="1">
        <v>0</v>
      </c>
      <c r="L14" s="2">
        <v>192060500000000</v>
      </c>
      <c r="M14" s="1">
        <v>0</v>
      </c>
    </row>
    <row r="15" spans="1:13" x14ac:dyDescent="0.25">
      <c r="A15">
        <v>14</v>
      </c>
      <c r="B15" s="1">
        <v>-2.534016E+16</v>
      </c>
      <c r="C15" s="1">
        <v>1.958847E+16</v>
      </c>
      <c r="D15" s="1">
        <v>-8493900000000000</v>
      </c>
      <c r="E15" s="1">
        <v>2.162131E+16</v>
      </c>
      <c r="F15" s="1">
        <v>2.672584E+16</v>
      </c>
      <c r="G15" s="1">
        <v>1.640024E+16</v>
      </c>
      <c r="H15" s="1">
        <v>-1.343168E-2</v>
      </c>
      <c r="I15" s="1">
        <v>5.3720160000000003E-2</v>
      </c>
      <c r="J15" s="2">
        <v>-2.534016E+16</v>
      </c>
      <c r="K15" s="1">
        <v>0</v>
      </c>
      <c r="L15" s="2">
        <v>-8493900000000000</v>
      </c>
      <c r="M15" s="1">
        <v>0</v>
      </c>
    </row>
    <row r="16" spans="1:13" x14ac:dyDescent="0.25">
      <c r="A16">
        <v>15</v>
      </c>
      <c r="B16" s="1">
        <v>-2.12484E+18</v>
      </c>
      <c r="C16" s="1">
        <v>1.203154E+18</v>
      </c>
      <c r="D16" s="1">
        <v>-3.598855E+17</v>
      </c>
      <c r="E16" s="1">
        <v>1.49012E+18</v>
      </c>
      <c r="F16" s="1">
        <v>2.155102E+18</v>
      </c>
      <c r="G16" s="1">
        <v>8.38117E+17</v>
      </c>
      <c r="H16" s="1">
        <v>-7.4338579999999998E-3</v>
      </c>
      <c r="I16" s="1">
        <v>6.4436579999999993E-2</v>
      </c>
      <c r="J16" s="2">
        <v>-2.12484E+18</v>
      </c>
      <c r="K16" s="1">
        <v>0</v>
      </c>
      <c r="L16" s="2">
        <v>-3.598855E+17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3.2189749999999998E-5</v>
      </c>
      <c r="B20" s="10">
        <f>C3</f>
        <v>6.1187280000000003E-6</v>
      </c>
      <c r="C20" s="11">
        <f>B2/B3/0.000001</f>
        <v>-784665.30494955706</v>
      </c>
      <c r="D20" s="12">
        <f>C2/B3/0.000001</f>
        <v>2580.6326548047132</v>
      </c>
      <c r="E20" s="11">
        <f>D2/B3/0.000001</f>
        <v>81839.840321841577</v>
      </c>
      <c r="F20" s="11">
        <f>E2/B3/0.000001</f>
        <v>4305.9421089011266</v>
      </c>
      <c r="G20" s="10">
        <f>H3</f>
        <v>-0.42295890000000003</v>
      </c>
      <c r="H20" s="10">
        <f>I3</f>
        <v>0.3461901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-6.0209439224925854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-2.6552242355696367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-6.125254947948501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-1.7144480941263218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-5.9737003493869683</v>
      </c>
      <c r="C25" s="20">
        <f t="shared" si="1"/>
        <v>-1.1053119538181677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-5.6879591833051037</v>
      </c>
      <c r="C26" s="20">
        <f t="shared" si="1"/>
        <v>-0.71627032724487583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-5.3350393993391716</v>
      </c>
      <c r="C27" s="20">
        <f t="shared" si="1"/>
        <v>-0.47097947655060668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-4.9505901089823707</v>
      </c>
      <c r="C28" s="20">
        <f t="shared" si="1"/>
        <v>-0.31806891716825214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-4.5528191218882412</v>
      </c>
      <c r="C29" s="20">
        <f t="shared" si="1"/>
        <v>-0.22353534481103093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-4.1505669315336124</v>
      </c>
      <c r="C30" s="20">
        <f t="shared" si="1"/>
        <v>-0.16521868059079461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-3.7478441518683177</v>
      </c>
      <c r="C31" s="20">
        <f t="shared" si="1"/>
        <v>-0.12888325238650714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-3.346291449650848</v>
      </c>
      <c r="C32" s="20">
        <f t="shared" si="1"/>
        <v>-0.10550162785345231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-2.9464584930093181</v>
      </c>
      <c r="C33" s="20">
        <f t="shared" si="1"/>
        <v>-8.9414615597781799E-2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-2.5484361401214746</v>
      </c>
      <c r="C34" s="20">
        <f t="shared" si="1"/>
        <v>-7.7112075462089438E-2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-2.1521500527808879</v>
      </c>
      <c r="C35" s="20">
        <f t="shared" si="1"/>
        <v>-6.6441661348869918E-2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-1.7574874643797498</v>
      </c>
      <c r="C36" s="20">
        <f t="shared" si="1"/>
        <v>-5.6104706071798176E-2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-1.3643490553821249</v>
      </c>
      <c r="C37" s="20">
        <f t="shared" si="1"/>
        <v>-4.5339868654892611E-2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-0.97267253828966249</v>
      </c>
      <c r="C38" s="20">
        <f t="shared" si="1"/>
        <v>-3.372663197877445E-2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-0.58244932097706648</v>
      </c>
      <c r="C39" s="20">
        <f t="shared" si="1"/>
        <v>-2.1063609032584925E-2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-0.19374184590110263</v>
      </c>
      <c r="C40" s="20">
        <f t="shared" si="1"/>
        <v>-7.2925241213311672E-3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0.19329799555732177</v>
      </c>
      <c r="C41" s="20">
        <f t="shared" si="1"/>
        <v>7.5506519362356812E-3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0.57841219314756676</v>
      </c>
      <c r="C42" s="20">
        <f t="shared" si="1"/>
        <v>2.3369104322725313E-2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0.96122511136930855</v>
      </c>
      <c r="C43" s="20">
        <f t="shared" si="1"/>
        <v>4.0030520486792787E-2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1.3412393237908538</v>
      </c>
      <c r="C44" s="20">
        <f t="shared" si="1"/>
        <v>5.7389124097688218E-2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1.7178383156175536</v>
      </c>
      <c r="C45" s="20">
        <f t="shared" si="1"/>
        <v>7.530747992033876E-2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2.0902914441741163</v>
      </c>
      <c r="C46" s="20">
        <f t="shared" si="1"/>
        <v>9.3680077590166916E-2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2.4577497425130956</v>
      </c>
      <c r="C47" s="20">
        <f t="shared" si="1"/>
        <v>0.11245984159692086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2.8192084109548801</v>
      </c>
      <c r="C48" s="20">
        <f t="shared" si="1"/>
        <v>0.13168751205135529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3.1733863997870002</v>
      </c>
      <c r="C49" s="20">
        <f t="shared" si="1"/>
        <v>0.15152125314896941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3.5184232668320328</v>
      </c>
      <c r="C50" s="20">
        <f t="shared" si="1"/>
        <v>0.17225797453072716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3.8511988810319946</v>
      </c>
      <c r="C51" s="20">
        <f t="shared" si="1"/>
        <v>0.19432549989056927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4.1659127463380807</v>
      </c>
      <c r="C52" s="20">
        <f t="shared" si="1"/>
        <v>0.21820088686372888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4.4512737227644301</v>
      </c>
      <c r="C53" s="20">
        <f t="shared" si="1"/>
        <v>0.24416750795318029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4.6851880222613413</v>
      </c>
      <c r="C54" s="20">
        <f t="shared" si="1"/>
        <v>0.27175152681769849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4.8251132990006962</v>
      </c>
      <c r="C55" s="20">
        <f t="shared" si="1"/>
        <v>0.298562979602151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4.7911643417752456</v>
      </c>
      <c r="C56" s="20">
        <f t="shared" si="1"/>
        <v>0.31808909045794548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4.4374766845965752</v>
      </c>
      <c r="C57" s="20">
        <f t="shared" si="1"/>
        <v>0.31572361127687509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3.505089119321406</v>
      </c>
      <c r="C58" s="20">
        <f t="shared" si="1"/>
        <v>0.26193545221031661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F13" sqref="F13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-2.4480210000000001E-5</v>
      </c>
      <c r="C2" s="1">
        <v>1.164326E-7</v>
      </c>
      <c r="D2" s="1">
        <v>2.8862270000000001E-6</v>
      </c>
      <c r="E2" s="1">
        <v>2.246303E-7</v>
      </c>
      <c r="F2" s="1">
        <v>2.464977E-5</v>
      </c>
      <c r="G2" s="1">
        <v>1.3295680000000001E-7</v>
      </c>
      <c r="H2" s="1">
        <v>-0.1168993</v>
      </c>
      <c r="I2" s="1">
        <v>3.2721939999999998E-2</v>
      </c>
      <c r="J2" s="2">
        <v>-2.4480210000000001E-5</v>
      </c>
      <c r="K2" s="1">
        <v>0</v>
      </c>
      <c r="L2" s="2">
        <v>2.8862270000000001E-6</v>
      </c>
      <c r="M2" s="1">
        <v>0</v>
      </c>
    </row>
    <row r="3" spans="1:13" x14ac:dyDescent="0.25">
      <c r="A3">
        <v>2</v>
      </c>
      <c r="B3" s="1">
        <v>1.7097379999999999E-4</v>
      </c>
      <c r="C3" s="1">
        <v>8.9871930000000001E-6</v>
      </c>
      <c r="D3" s="1">
        <v>-4.9925719999999997E-5</v>
      </c>
      <c r="E3" s="1">
        <v>1.73491E-5</v>
      </c>
      <c r="F3" s="1">
        <v>1.78114E-4</v>
      </c>
      <c r="G3" s="1">
        <v>1.0721699999999999E-5</v>
      </c>
      <c r="H3" s="1">
        <v>-0.1120041</v>
      </c>
      <c r="I3" s="1">
        <v>0.1795805</v>
      </c>
      <c r="J3" s="2">
        <v>1.7097379999999999E-4</v>
      </c>
      <c r="K3" s="1">
        <v>0</v>
      </c>
      <c r="L3" s="2">
        <v>-4.9925719999999997E-5</v>
      </c>
      <c r="M3" s="1">
        <v>0</v>
      </c>
    </row>
    <row r="4" spans="1:13" x14ac:dyDescent="0.25">
      <c r="A4">
        <v>3</v>
      </c>
      <c r="B4" s="1">
        <v>1.1542129999999999E-2</v>
      </c>
      <c r="C4" s="1">
        <v>4.8944169999999999E-4</v>
      </c>
      <c r="D4" s="1">
        <v>-1.6767029999999999E-4</v>
      </c>
      <c r="E4" s="1">
        <v>7.1102700000000003E-4</v>
      </c>
      <c r="F4" s="1">
        <v>1.1543350000000001E-2</v>
      </c>
      <c r="G4" s="1">
        <v>5.0903950000000004E-4</v>
      </c>
      <c r="H4" s="1">
        <v>-3.2147109999999999E-3</v>
      </c>
      <c r="I4" s="1">
        <v>7.3489719999999994E-2</v>
      </c>
      <c r="J4" s="2">
        <v>1.1542129999999999E-2</v>
      </c>
      <c r="K4" s="1">
        <v>0</v>
      </c>
      <c r="L4" s="2">
        <v>-1.6767029999999999E-4</v>
      </c>
      <c r="M4" s="1">
        <v>0</v>
      </c>
    </row>
    <row r="5" spans="1:13" x14ac:dyDescent="0.25">
      <c r="A5">
        <v>4</v>
      </c>
      <c r="B5" s="1">
        <v>1.2033490000000001E-2</v>
      </c>
      <c r="C5" s="1">
        <v>3.0353189999999999E-2</v>
      </c>
      <c r="D5" s="1">
        <v>3.0195630000000001E-2</v>
      </c>
      <c r="E5" s="1">
        <v>3.939691E-2</v>
      </c>
      <c r="F5" s="1">
        <v>3.250509E-2</v>
      </c>
      <c r="G5" s="1">
        <v>2.361916E-2</v>
      </c>
      <c r="H5" s="1">
        <v>0.11804389999999999</v>
      </c>
      <c r="I5" s="1">
        <v>0.20766119999999999</v>
      </c>
      <c r="J5" s="2">
        <v>1.2033490000000001E-2</v>
      </c>
      <c r="K5" s="1">
        <v>0</v>
      </c>
      <c r="L5" s="2">
        <v>3.0195630000000001E-2</v>
      </c>
      <c r="M5" s="1">
        <v>0</v>
      </c>
    </row>
    <row r="6" spans="1:13" x14ac:dyDescent="0.25">
      <c r="A6">
        <v>5</v>
      </c>
      <c r="B6" s="1">
        <v>0.39082790000000001</v>
      </c>
      <c r="C6" s="1">
        <v>1.3084769999999999</v>
      </c>
      <c r="D6" s="1">
        <v>-4.1414939999999998</v>
      </c>
      <c r="E6" s="1">
        <v>2.6458439999999999</v>
      </c>
      <c r="F6" s="1">
        <v>4.1598940000000004</v>
      </c>
      <c r="G6" s="1">
        <v>1.444571</v>
      </c>
      <c r="H6" s="1">
        <v>-6.7604269999999994E-2</v>
      </c>
      <c r="I6" s="1">
        <v>0.21829309999999999</v>
      </c>
      <c r="J6" s="2">
        <v>0.39082790000000001</v>
      </c>
      <c r="K6" s="1">
        <v>0</v>
      </c>
      <c r="L6" s="2">
        <v>-4.1414939999999998</v>
      </c>
      <c r="M6" s="1">
        <v>0</v>
      </c>
    </row>
    <row r="7" spans="1:13" x14ac:dyDescent="0.25">
      <c r="A7">
        <v>6</v>
      </c>
      <c r="B7" s="1">
        <v>0.75386589999999998</v>
      </c>
      <c r="C7" s="1">
        <v>129.8015</v>
      </c>
      <c r="D7" s="1">
        <v>253.0575</v>
      </c>
      <c r="E7" s="1">
        <v>160.7457</v>
      </c>
      <c r="F7" s="1">
        <v>253.05869999999999</v>
      </c>
      <c r="G7" s="1">
        <v>111.64019999999999</v>
      </c>
      <c r="H7" s="1">
        <v>-1.155114E-2</v>
      </c>
      <c r="I7" s="1">
        <v>0.16787469999999999</v>
      </c>
      <c r="J7" s="2">
        <v>0.75386589999999998</v>
      </c>
      <c r="K7" s="1">
        <v>0</v>
      </c>
      <c r="L7" s="2">
        <v>253.0575</v>
      </c>
      <c r="M7" s="1">
        <v>0</v>
      </c>
    </row>
    <row r="8" spans="1:13" x14ac:dyDescent="0.25">
      <c r="A8">
        <v>7</v>
      </c>
      <c r="B8" s="1">
        <v>445.88069999999999</v>
      </c>
      <c r="C8" s="1">
        <v>7977.8739999999998</v>
      </c>
      <c r="D8" s="1">
        <v>10837.58</v>
      </c>
      <c r="E8" s="1">
        <v>11708.51</v>
      </c>
      <c r="F8" s="1">
        <v>10846.74</v>
      </c>
      <c r="G8" s="1">
        <v>7420.2030000000004</v>
      </c>
      <c r="H8" s="1">
        <v>8.4538779999999994E-2</v>
      </c>
      <c r="I8" s="1">
        <v>0.10403560000000001</v>
      </c>
      <c r="J8" s="2">
        <v>445.88069999999999</v>
      </c>
      <c r="K8" s="1">
        <v>0</v>
      </c>
      <c r="L8" s="2">
        <v>10837.58</v>
      </c>
      <c r="M8" s="1">
        <v>0</v>
      </c>
    </row>
    <row r="9" spans="1:13" x14ac:dyDescent="0.25">
      <c r="A9">
        <v>8</v>
      </c>
      <c r="B9" s="1">
        <v>599188.1</v>
      </c>
      <c r="C9" s="1">
        <v>620490.80000000005</v>
      </c>
      <c r="D9" s="1">
        <v>255977.7</v>
      </c>
      <c r="E9" s="1">
        <v>583255.80000000005</v>
      </c>
      <c r="F9" s="1">
        <v>651575.80000000005</v>
      </c>
      <c r="G9" s="1">
        <v>417921.2</v>
      </c>
      <c r="H9" s="1">
        <v>-3.7310569999999999E-3</v>
      </c>
      <c r="I9" s="1">
        <v>0.10646750000000001</v>
      </c>
      <c r="J9" s="2">
        <v>599188.1</v>
      </c>
      <c r="K9" s="1">
        <v>0</v>
      </c>
      <c r="L9" s="2">
        <v>255977.7</v>
      </c>
      <c r="M9" s="1">
        <v>0</v>
      </c>
    </row>
    <row r="10" spans="1:13" x14ac:dyDescent="0.25">
      <c r="A10">
        <v>9</v>
      </c>
      <c r="B10" s="1">
        <v>9133493</v>
      </c>
      <c r="C10" s="1">
        <v>29999220</v>
      </c>
      <c r="D10" s="1">
        <v>-14435690</v>
      </c>
      <c r="E10" s="1">
        <v>25749590</v>
      </c>
      <c r="F10" s="1">
        <v>17082440</v>
      </c>
      <c r="G10" s="1">
        <v>10723130</v>
      </c>
      <c r="H10" s="1">
        <v>1.366877E-2</v>
      </c>
      <c r="I10" s="1">
        <v>8.8124640000000004E-2</v>
      </c>
      <c r="J10" s="2">
        <v>9133493</v>
      </c>
      <c r="K10" s="1">
        <v>0</v>
      </c>
      <c r="L10" s="2">
        <v>-14435690</v>
      </c>
      <c r="M10" s="1">
        <v>0</v>
      </c>
    </row>
    <row r="11" spans="1:13" x14ac:dyDescent="0.25">
      <c r="A11">
        <v>10</v>
      </c>
      <c r="B11" s="1">
        <v>4240398000</v>
      </c>
      <c r="C11" s="1">
        <v>2010636000</v>
      </c>
      <c r="D11" s="1">
        <v>-2037553000</v>
      </c>
      <c r="E11" s="1">
        <v>1748500000</v>
      </c>
      <c r="F11" s="1">
        <v>4704530000</v>
      </c>
      <c r="G11" s="1">
        <v>1270423000</v>
      </c>
      <c r="H11" s="1">
        <v>-8.0785289999999992E-3</v>
      </c>
      <c r="I11" s="1">
        <v>7.7724979999999999E-2</v>
      </c>
      <c r="J11" s="2">
        <v>4240398000</v>
      </c>
      <c r="K11" s="1">
        <v>0</v>
      </c>
      <c r="L11" s="2">
        <v>-2037553000</v>
      </c>
      <c r="M11" s="1">
        <v>0</v>
      </c>
    </row>
    <row r="12" spans="1:13" x14ac:dyDescent="0.25">
      <c r="A12">
        <v>11</v>
      </c>
      <c r="B12" s="1">
        <v>-48176910000</v>
      </c>
      <c r="C12" s="1">
        <v>94893720000</v>
      </c>
      <c r="D12" s="1">
        <v>152464200000</v>
      </c>
      <c r="E12" s="1">
        <v>131883400000</v>
      </c>
      <c r="F12" s="1">
        <v>159894800000</v>
      </c>
      <c r="G12" s="1">
        <v>89613910000</v>
      </c>
      <c r="H12" s="1">
        <v>2.8781870000000001E-2</v>
      </c>
      <c r="I12" s="1">
        <v>8.5314780000000007E-2</v>
      </c>
      <c r="J12" s="2">
        <v>-48176910000</v>
      </c>
      <c r="K12" s="1">
        <v>0</v>
      </c>
      <c r="L12" s="2">
        <v>152464200000</v>
      </c>
      <c r="M12" s="1">
        <v>0</v>
      </c>
    </row>
    <row r="13" spans="1:13" x14ac:dyDescent="0.25">
      <c r="A13">
        <v>12</v>
      </c>
      <c r="B13" s="1">
        <v>-261015200000</v>
      </c>
      <c r="C13" s="1">
        <v>6702148000000</v>
      </c>
      <c r="D13" s="1">
        <v>8292136000000</v>
      </c>
      <c r="E13" s="1">
        <v>10858730000000</v>
      </c>
      <c r="F13" s="1">
        <v>8296243000000</v>
      </c>
      <c r="G13" s="1">
        <v>6573105000000</v>
      </c>
      <c r="H13" s="1">
        <v>2.6871730000000002E-3</v>
      </c>
      <c r="I13" s="1">
        <v>8.4174150000000003E-2</v>
      </c>
      <c r="J13" s="2">
        <v>-261015200000</v>
      </c>
      <c r="K13" s="1">
        <v>0</v>
      </c>
      <c r="L13" s="2">
        <v>8292136000000</v>
      </c>
      <c r="M13" s="1">
        <v>0</v>
      </c>
    </row>
    <row r="14" spans="1:13" x14ac:dyDescent="0.25">
      <c r="A14">
        <v>13</v>
      </c>
      <c r="B14" s="1">
        <v>376703800000000</v>
      </c>
      <c r="C14" s="1">
        <v>279627400000000</v>
      </c>
      <c r="D14" s="1">
        <v>-578525300000000</v>
      </c>
      <c r="E14" s="1">
        <v>362265900000000</v>
      </c>
      <c r="F14" s="1">
        <v>690360200000000</v>
      </c>
      <c r="G14" s="1">
        <v>220401500000000</v>
      </c>
      <c r="H14" s="1">
        <v>2.3151510000000001E-3</v>
      </c>
      <c r="I14" s="1">
        <v>7.4265510000000007E-2</v>
      </c>
      <c r="J14" s="2">
        <v>376703800000000</v>
      </c>
      <c r="K14" s="1">
        <v>0</v>
      </c>
      <c r="L14" s="2">
        <v>-578525300000000</v>
      </c>
      <c r="M14" s="1">
        <v>0</v>
      </c>
    </row>
    <row r="15" spans="1:13" x14ac:dyDescent="0.25">
      <c r="A15">
        <v>14</v>
      </c>
      <c r="B15" s="1">
        <v>4.719856E+16</v>
      </c>
      <c r="C15" s="1">
        <v>2.357516E+16</v>
      </c>
      <c r="D15" s="1">
        <v>-3.12693E+16</v>
      </c>
      <c r="E15" s="1">
        <v>2.630839E+16</v>
      </c>
      <c r="F15" s="1">
        <v>5.66169E+16</v>
      </c>
      <c r="G15" s="1">
        <v>1.624739E+16</v>
      </c>
      <c r="H15" s="1">
        <v>-3.5014719999999998E-3</v>
      </c>
      <c r="I15" s="1">
        <v>6.3030359999999994E-2</v>
      </c>
      <c r="J15" s="2">
        <v>4.719856E+16</v>
      </c>
      <c r="K15" s="1">
        <v>0</v>
      </c>
      <c r="L15" s="2">
        <v>-3.12693E+16</v>
      </c>
      <c r="M15" s="1">
        <v>0</v>
      </c>
    </row>
    <row r="16" spans="1:13" x14ac:dyDescent="0.25">
      <c r="A16">
        <v>15</v>
      </c>
      <c r="B16" s="1">
        <v>-1.331865E+18</v>
      </c>
      <c r="C16" s="1">
        <v>1.342313E+18</v>
      </c>
      <c r="D16" s="1">
        <v>1.822654E+18</v>
      </c>
      <c r="E16" s="1">
        <v>1.728312E+18</v>
      </c>
      <c r="F16" s="1">
        <v>2.257417E+18</v>
      </c>
      <c r="G16" s="1">
        <v>9.041377E+17</v>
      </c>
      <c r="H16" s="1">
        <v>1.6625609999999999E-2</v>
      </c>
      <c r="I16" s="1">
        <v>5.9187860000000002E-2</v>
      </c>
      <c r="J16" s="2">
        <v>-1.331865E+18</v>
      </c>
      <c r="K16" s="1">
        <v>0</v>
      </c>
      <c r="L16" s="2">
        <v>1.822654E+18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1.7097379999999999E-4</v>
      </c>
      <c r="B20" s="10">
        <f>C3</f>
        <v>8.9871930000000001E-6</v>
      </c>
      <c r="C20" s="11">
        <f>B2/B3/0.000001</f>
        <v>-143181.06048996982</v>
      </c>
      <c r="D20" s="12">
        <f>C2/B3/0.000001</f>
        <v>680.99673751182934</v>
      </c>
      <c r="E20" s="11">
        <f>D2/B3/0.000001</f>
        <v>16881.106929833695</v>
      </c>
      <c r="F20" s="11">
        <f>E2/B3/0.000001</f>
        <v>1313.828785463036</v>
      </c>
      <c r="G20" s="10">
        <f>H3</f>
        <v>-0.1120041</v>
      </c>
      <c r="H20" s="10">
        <f>I3</f>
        <v>0.1795805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-0.60837431686022592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6.456444593055187E-2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-0.78503436005731753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0.12722557114109376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-0.8580145914581857</v>
      </c>
      <c r="C25" s="20">
        <f t="shared" si="1"/>
        <v>0.14356674377687861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-0.87084530708979258</v>
      </c>
      <c r="C26" s="20">
        <f t="shared" si="1"/>
        <v>0.13766899784096429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-0.84909059009863896</v>
      </c>
      <c r="C27" s="20">
        <f t="shared" si="1"/>
        <v>0.12225690860851043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-0.80757711505105467</v>
      </c>
      <c r="C28" s="20">
        <f t="shared" si="1"/>
        <v>0.10380063038009116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-0.75482720768987599</v>
      </c>
      <c r="C29" s="20">
        <f t="shared" si="1"/>
        <v>8.5440326488343057E-2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-0.69571456638101459</v>
      </c>
      <c r="C30" s="20">
        <f t="shared" si="1"/>
        <v>6.8599657804709474E-2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-0.63302068690744229</v>
      </c>
      <c r="C31" s="20">
        <f t="shared" si="1"/>
        <v>5.3841157298223134E-2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-0.56833056343934141</v>
      </c>
      <c r="C32" s="20">
        <f t="shared" si="1"/>
        <v>4.1302662383443121E-2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-0.50254234168489031</v>
      </c>
      <c r="C33" s="20">
        <f t="shared" si="1"/>
        <v>3.0913532900675909E-2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-0.43615696528741088</v>
      </c>
      <c r="C34" s="20">
        <f t="shared" si="1"/>
        <v>2.2500905805067559E-2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-0.36944449691548314</v>
      </c>
      <c r="C35" s="20">
        <f t="shared" si="1"/>
        <v>1.584335836891489E-2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-0.30254140661704565</v>
      </c>
      <c r="C36" s="20">
        <f t="shared" si="1"/>
        <v>1.0699790827945045E-2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-0.23550848623512097</v>
      </c>
      <c r="C37" s="20">
        <f t="shared" si="1"/>
        <v>6.8261901290710796E-3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-0.16836549875721871</v>
      </c>
      <c r="C38" s="20">
        <f t="shared" si="1"/>
        <v>3.9860124059784077E-3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-0.10111158248551894</v>
      </c>
      <c r="C39" s="20">
        <f t="shared" si="1"/>
        <v>1.9571716269171885E-3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-3.3736779778521395E-2</v>
      </c>
      <c r="C40" s="20">
        <f t="shared" si="1"/>
        <v>5.3761000675867012E-4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3.377197147450723E-2</v>
      </c>
      <c r="C41" s="20">
        <f t="shared" si="1"/>
        <v>-4.4912010262775223E-4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0.10142842755465795</v>
      </c>
      <c r="C42" s="20">
        <f t="shared" si="1"/>
        <v>-1.147408551012082E-3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0.16924740601086691</v>
      </c>
      <c r="C43" s="20">
        <f t="shared" si="1"/>
        <v>-1.6620632534597721E-3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0.23724817292816899</v>
      </c>
      <c r="C44" s="20">
        <f t="shared" si="1"/>
        <v>-2.0500459221227808E-3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0.30546206716399243</v>
      </c>
      <c r="C45" s="20">
        <f t="shared" si="1"/>
        <v>-2.3120736516833648E-3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0.37394657878530019</v>
      </c>
      <c r="C46" s="20">
        <f t="shared" si="1"/>
        <v>-2.3846083598620779E-3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0.44280939842429379</v>
      </c>
      <c r="C47" s="20">
        <f t="shared" si="1"/>
        <v>-2.1324013063226178E-3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0.51224805860504519</v>
      </c>
      <c r="C48" s="20">
        <f t="shared" si="1"/>
        <v>-1.3413642583818082E-3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0.58261444720429156</v>
      </c>
      <c r="C49" s="20">
        <f t="shared" si="1"/>
        <v>2.8859901056881867E-4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0.654519643604207</v>
      </c>
      <c r="C50" s="20">
        <f t="shared" si="1"/>
        <v>3.1508246678545538E-3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0.72900428680877705</v>
      </c>
      <c r="C51" s="20">
        <f t="shared" si="1"/>
        <v>7.7384495112521878E-3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0.80781409483137767</v>
      </c>
      <c r="C52" s="20">
        <f t="shared" si="1"/>
        <v>1.4649020371298614E-2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0.89384008192130415</v>
      </c>
      <c r="C53" s="20">
        <f t="shared" si="1"/>
        <v>2.4587077620692763E-2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0.99180890190616267</v>
      </c>
      <c r="C54" s="20">
        <f t="shared" si="1"/>
        <v>3.837045073485712E-2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1.1093403105492479</v>
      </c>
      <c r="C55" s="20">
        <f t="shared" si="1"/>
        <v>5.6961075313092815E-2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1.2585246784677899</v>
      </c>
      <c r="C56" s="20">
        <f t="shared" si="1"/>
        <v>8.157246159303963E-2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1.458211075488921</v>
      </c>
      <c r="C57" s="20">
        <f t="shared" si="1"/>
        <v>0.11396345237948334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1.7372311239364124</v>
      </c>
      <c r="C58" s="20">
        <f t="shared" si="1"/>
        <v>0.15712516523100037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I19" sqref="I19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-2.5606030000000001E-5</v>
      </c>
      <c r="C2" s="1">
        <v>1.4877060000000001E-7</v>
      </c>
      <c r="D2" s="1">
        <v>3.1010859999999999E-6</v>
      </c>
      <c r="E2" s="1">
        <v>3.5192450000000001E-7</v>
      </c>
      <c r="F2" s="1">
        <v>2.5793130000000001E-5</v>
      </c>
      <c r="G2" s="1">
        <v>1.5050589999999999E-7</v>
      </c>
      <c r="H2" s="1">
        <v>-0.1204226</v>
      </c>
      <c r="I2" s="1">
        <v>5.0756210000000003E-2</v>
      </c>
      <c r="J2" s="2">
        <v>-2.5606030000000001E-5</v>
      </c>
      <c r="K2" s="1">
        <v>0</v>
      </c>
      <c r="L2" s="2">
        <v>3.1010859999999999E-6</v>
      </c>
      <c r="M2" s="1">
        <v>0</v>
      </c>
    </row>
    <row r="3" spans="1:13" x14ac:dyDescent="0.25">
      <c r="A3">
        <v>2</v>
      </c>
      <c r="B3" s="1">
        <v>3.8634249999999998E-4</v>
      </c>
      <c r="C3" s="1">
        <v>7.8836800000000007E-6</v>
      </c>
      <c r="D3" s="1">
        <v>-5.9874080000000002E-5</v>
      </c>
      <c r="E3" s="1">
        <v>1.7853799999999998E-5</v>
      </c>
      <c r="F3" s="1">
        <v>3.9095450000000001E-4</v>
      </c>
      <c r="G3" s="1">
        <v>8.7873010000000008E-6</v>
      </c>
      <c r="H3" s="1">
        <v>-7.298868E-2</v>
      </c>
      <c r="I3" s="1">
        <v>8.3166160000000003E-2</v>
      </c>
      <c r="J3" s="2">
        <v>3.8634249999999998E-4</v>
      </c>
      <c r="K3" s="1">
        <v>0</v>
      </c>
      <c r="L3" s="2">
        <v>-5.9874080000000002E-5</v>
      </c>
      <c r="M3" s="1">
        <v>0</v>
      </c>
    </row>
    <row r="4" spans="1:13" x14ac:dyDescent="0.25">
      <c r="A4">
        <v>3</v>
      </c>
      <c r="B4" s="1">
        <v>1.2284079999999999E-2</v>
      </c>
      <c r="C4" s="1">
        <v>5.7409850000000005E-4</v>
      </c>
      <c r="D4" s="1">
        <v>-6.2228589999999996E-4</v>
      </c>
      <c r="E4" s="1">
        <v>9.6353750000000005E-4</v>
      </c>
      <c r="F4" s="1">
        <v>1.2299829999999999E-2</v>
      </c>
      <c r="G4" s="1">
        <v>5.5521559999999995E-4</v>
      </c>
      <c r="H4" s="1">
        <v>-1.7243140000000001E-2</v>
      </c>
      <c r="I4" s="1">
        <v>9.7446119999999997E-2</v>
      </c>
      <c r="J4" s="2">
        <v>1.2284079999999999E-2</v>
      </c>
      <c r="K4" s="1">
        <v>0</v>
      </c>
      <c r="L4" s="2">
        <v>-6.2228589999999996E-4</v>
      </c>
      <c r="M4" s="1">
        <v>0</v>
      </c>
    </row>
    <row r="5" spans="1:13" x14ac:dyDescent="0.25">
      <c r="A5">
        <v>4</v>
      </c>
      <c r="B5" s="1">
        <v>1.7140200000000001E-2</v>
      </c>
      <c r="C5" s="1">
        <v>2.6315700000000001E-2</v>
      </c>
      <c r="D5" s="1">
        <v>6.6148079999999998E-2</v>
      </c>
      <c r="E5" s="1">
        <v>6.15787E-2</v>
      </c>
      <c r="F5" s="1">
        <v>6.8332680000000007E-2</v>
      </c>
      <c r="G5" s="1">
        <v>3.6672290000000003E-2</v>
      </c>
      <c r="H5" s="1">
        <v>0.1059824</v>
      </c>
      <c r="I5" s="1">
        <v>0.2560944</v>
      </c>
      <c r="J5" s="2">
        <v>1.7140200000000001E-2</v>
      </c>
      <c r="K5" s="1">
        <v>0</v>
      </c>
      <c r="L5" s="2">
        <v>6.6148079999999998E-2</v>
      </c>
      <c r="M5" s="1">
        <v>0</v>
      </c>
    </row>
    <row r="6" spans="1:13" x14ac:dyDescent="0.25">
      <c r="A6">
        <v>5</v>
      </c>
      <c r="B6" s="1">
        <v>-0.90989759999999997</v>
      </c>
      <c r="C6" s="1">
        <v>1.6836279999999999</v>
      </c>
      <c r="D6" s="1">
        <v>1.6794990000000001</v>
      </c>
      <c r="E6" s="1">
        <v>3.5977999999999999</v>
      </c>
      <c r="F6" s="1">
        <v>1.910139</v>
      </c>
      <c r="G6" s="1">
        <v>1.730038</v>
      </c>
      <c r="H6" s="1">
        <v>6.6186229999999997E-3</v>
      </c>
      <c r="I6" s="1">
        <v>0.2101394</v>
      </c>
      <c r="J6" s="2">
        <v>-0.90989759999999997</v>
      </c>
      <c r="K6" s="1">
        <v>0</v>
      </c>
      <c r="L6" s="2">
        <v>1.6794990000000001</v>
      </c>
      <c r="M6" s="1">
        <v>0</v>
      </c>
    </row>
    <row r="7" spans="1:13" x14ac:dyDescent="0.25">
      <c r="A7">
        <v>6</v>
      </c>
      <c r="B7" s="1">
        <v>-176.0061</v>
      </c>
      <c r="C7" s="1">
        <v>134.9872</v>
      </c>
      <c r="D7" s="1">
        <v>-4.8694810000000004</v>
      </c>
      <c r="E7" s="1">
        <v>163.3502</v>
      </c>
      <c r="F7" s="1">
        <v>176.07339999999999</v>
      </c>
      <c r="G7" s="1">
        <v>100.306</v>
      </c>
      <c r="H7" s="1">
        <v>-3.155939E-2</v>
      </c>
      <c r="I7" s="1">
        <v>0.1536034</v>
      </c>
      <c r="J7" s="2">
        <v>-176.0061</v>
      </c>
      <c r="K7" s="1">
        <v>0</v>
      </c>
      <c r="L7" s="2">
        <v>-4.8694810000000004</v>
      </c>
      <c r="M7" s="1">
        <v>0</v>
      </c>
    </row>
    <row r="8" spans="1:13" x14ac:dyDescent="0.25">
      <c r="A8">
        <v>7</v>
      </c>
      <c r="B8" s="1">
        <v>-5698.1030000000001</v>
      </c>
      <c r="C8" s="1">
        <v>7869.8329999999996</v>
      </c>
      <c r="D8" s="1">
        <v>1332.3610000000001</v>
      </c>
      <c r="E8" s="1">
        <v>12029.44</v>
      </c>
      <c r="F8" s="1">
        <v>5851.8</v>
      </c>
      <c r="G8" s="1">
        <v>5441.7569999999996</v>
      </c>
      <c r="H8" s="1">
        <v>-5.2659550000000001E-3</v>
      </c>
      <c r="I8" s="1">
        <v>0.14492050000000001</v>
      </c>
      <c r="J8" s="2">
        <v>-5698.1030000000001</v>
      </c>
      <c r="K8" s="1">
        <v>0</v>
      </c>
      <c r="L8" s="2">
        <v>1332.3610000000001</v>
      </c>
      <c r="M8" s="1">
        <v>0</v>
      </c>
    </row>
    <row r="9" spans="1:13" x14ac:dyDescent="0.25">
      <c r="A9">
        <v>8</v>
      </c>
      <c r="B9" s="1">
        <v>13235.49</v>
      </c>
      <c r="C9" s="1">
        <v>394960.5</v>
      </c>
      <c r="D9" s="1">
        <v>-317815.40000000002</v>
      </c>
      <c r="E9" s="1">
        <v>712400.4</v>
      </c>
      <c r="F9" s="1">
        <v>318090.8</v>
      </c>
      <c r="G9" s="1">
        <v>372819.1</v>
      </c>
      <c r="H9" s="1">
        <v>-8.7183669999999994E-3</v>
      </c>
      <c r="I9" s="1">
        <v>0.139629</v>
      </c>
      <c r="J9" s="2">
        <v>13235.49</v>
      </c>
      <c r="K9" s="1">
        <v>0</v>
      </c>
      <c r="L9" s="2">
        <v>-317815.40000000002</v>
      </c>
      <c r="M9" s="1">
        <v>0</v>
      </c>
    </row>
    <row r="10" spans="1:13" x14ac:dyDescent="0.25">
      <c r="A10">
        <v>9</v>
      </c>
      <c r="B10" s="1">
        <v>-16668300</v>
      </c>
      <c r="C10" s="1">
        <v>25815700</v>
      </c>
      <c r="D10" s="1">
        <v>26409770</v>
      </c>
      <c r="E10" s="1">
        <v>33315840</v>
      </c>
      <c r="F10" s="1">
        <v>31229930</v>
      </c>
      <c r="G10" s="1">
        <v>19887910</v>
      </c>
      <c r="H10" s="1">
        <v>-3.6640109999999997E-2</v>
      </c>
      <c r="I10" s="1">
        <v>0.1065415</v>
      </c>
      <c r="J10" s="2">
        <v>-16668300</v>
      </c>
      <c r="K10" s="1">
        <v>0</v>
      </c>
      <c r="L10" s="2">
        <v>26409770</v>
      </c>
      <c r="M10" s="1">
        <v>0</v>
      </c>
    </row>
    <row r="11" spans="1:13" x14ac:dyDescent="0.25">
      <c r="A11">
        <v>10</v>
      </c>
      <c r="B11" s="1">
        <v>528460500</v>
      </c>
      <c r="C11" s="1">
        <v>1397007000</v>
      </c>
      <c r="D11" s="1">
        <v>-3413267000</v>
      </c>
      <c r="E11" s="1">
        <v>2083224000</v>
      </c>
      <c r="F11" s="1">
        <v>3453934000</v>
      </c>
      <c r="G11" s="1">
        <v>1287254000</v>
      </c>
      <c r="H11" s="1">
        <v>4.2933040000000004E-3</v>
      </c>
      <c r="I11" s="1">
        <v>0.1063757</v>
      </c>
      <c r="J11" s="2">
        <v>528460500</v>
      </c>
      <c r="K11" s="1">
        <v>0</v>
      </c>
      <c r="L11" s="2">
        <v>-3413267000</v>
      </c>
      <c r="M11" s="1">
        <v>0</v>
      </c>
    </row>
    <row r="12" spans="1:13" x14ac:dyDescent="0.25">
      <c r="A12">
        <v>11</v>
      </c>
      <c r="B12" s="1">
        <v>27296470000</v>
      </c>
      <c r="C12" s="1">
        <v>99312110000</v>
      </c>
      <c r="D12" s="1">
        <v>44889790000</v>
      </c>
      <c r="E12" s="1">
        <v>161923100000</v>
      </c>
      <c r="F12" s="1">
        <v>52537520000</v>
      </c>
      <c r="G12" s="1">
        <v>104689200000</v>
      </c>
      <c r="H12" s="1">
        <v>5.5978010000000002E-2</v>
      </c>
      <c r="I12" s="1">
        <v>8.2829520000000004E-2</v>
      </c>
      <c r="J12" s="2">
        <v>27296470000</v>
      </c>
      <c r="K12" s="1">
        <v>0</v>
      </c>
      <c r="L12" s="2">
        <v>44889790000</v>
      </c>
      <c r="M12" s="1">
        <v>0</v>
      </c>
    </row>
    <row r="13" spans="1:13" x14ac:dyDescent="0.25">
      <c r="A13">
        <v>12</v>
      </c>
      <c r="B13" s="1">
        <v>-8920049000000</v>
      </c>
      <c r="C13" s="1">
        <v>6068046000000</v>
      </c>
      <c r="D13" s="1">
        <v>7825886000000</v>
      </c>
      <c r="E13" s="1">
        <v>7128154000000</v>
      </c>
      <c r="F13" s="1">
        <v>11866410000000</v>
      </c>
      <c r="G13" s="1">
        <v>4873962000000</v>
      </c>
      <c r="H13" s="1">
        <v>-5.5782319999999998E-3</v>
      </c>
      <c r="I13" s="1">
        <v>7.4302030000000005E-2</v>
      </c>
      <c r="J13" s="2">
        <v>-8920049000000</v>
      </c>
      <c r="K13" s="1">
        <v>0</v>
      </c>
      <c r="L13" s="2">
        <v>7825886000000</v>
      </c>
      <c r="M13" s="1">
        <v>0</v>
      </c>
    </row>
    <row r="14" spans="1:13" x14ac:dyDescent="0.25">
      <c r="A14">
        <v>13</v>
      </c>
      <c r="B14" s="1">
        <v>17620440000000</v>
      </c>
      <c r="C14" s="1">
        <v>405728700000000</v>
      </c>
      <c r="D14" s="1">
        <v>-184457600000000</v>
      </c>
      <c r="E14" s="1">
        <v>496466400000000</v>
      </c>
      <c r="F14" s="1">
        <v>185297300000000</v>
      </c>
      <c r="G14" s="1">
        <v>270000400000000</v>
      </c>
      <c r="H14" s="1">
        <v>-8.0503539999999991E-3</v>
      </c>
      <c r="I14" s="1">
        <v>6.56809E-2</v>
      </c>
      <c r="J14" s="2">
        <v>17620440000000</v>
      </c>
      <c r="K14" s="1">
        <v>0</v>
      </c>
      <c r="L14" s="2">
        <v>-184457600000000</v>
      </c>
      <c r="M14" s="1">
        <v>0</v>
      </c>
    </row>
    <row r="15" spans="1:13" x14ac:dyDescent="0.25">
      <c r="A15">
        <v>14</v>
      </c>
      <c r="B15" s="1">
        <v>8623786000000000</v>
      </c>
      <c r="C15" s="1">
        <v>2.687102E+16</v>
      </c>
      <c r="D15" s="1">
        <v>-5.672177E+16</v>
      </c>
      <c r="E15" s="1">
        <v>3.103153E+16</v>
      </c>
      <c r="F15" s="1">
        <v>5.737359E+16</v>
      </c>
      <c r="G15" s="1">
        <v>1.920271E+16</v>
      </c>
      <c r="H15" s="1">
        <v>-1.230945E-2</v>
      </c>
      <c r="I15" s="1">
        <v>6.9354390000000002E-2</v>
      </c>
      <c r="J15" s="2">
        <v>8623786000000000</v>
      </c>
      <c r="K15" s="1">
        <v>0</v>
      </c>
      <c r="L15" s="2">
        <v>-5.672177E+16</v>
      </c>
      <c r="M15" s="1">
        <v>0</v>
      </c>
    </row>
    <row r="16" spans="1:13" x14ac:dyDescent="0.25">
      <c r="A16">
        <v>15</v>
      </c>
      <c r="B16" s="1">
        <v>8.243448E+17</v>
      </c>
      <c r="C16" s="1">
        <v>1.717141E+18</v>
      </c>
      <c r="D16" s="1">
        <v>2.759491E+17</v>
      </c>
      <c r="E16" s="1">
        <v>1.232634E+18</v>
      </c>
      <c r="F16" s="1">
        <v>8.693056E+17</v>
      </c>
      <c r="G16" s="1">
        <v>9.43504E+17</v>
      </c>
      <c r="H16" s="1">
        <v>-6.6889269999999999E-3</v>
      </c>
      <c r="I16" s="1">
        <v>6.505495E-2</v>
      </c>
      <c r="J16" s="2">
        <v>8.243448E+17</v>
      </c>
      <c r="K16" s="1">
        <v>0</v>
      </c>
      <c r="L16" s="2">
        <v>2.759491E+17</v>
      </c>
      <c r="M16" s="1">
        <v>0</v>
      </c>
    </row>
    <row r="18" spans="1:10" ht="18.75" x14ac:dyDescent="0.3">
      <c r="A18" s="24" t="s">
        <v>13</v>
      </c>
      <c r="B18" s="25"/>
      <c r="C18" s="25"/>
      <c r="D18" s="25"/>
      <c r="E18" s="25"/>
      <c r="F18" s="25"/>
      <c r="G18" s="25"/>
      <c r="H18" s="25"/>
      <c r="I18" s="25"/>
      <c r="J18" s="26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11"/>
      <c r="J19" s="8"/>
    </row>
    <row r="20" spans="1:10" x14ac:dyDescent="0.25">
      <c r="A20" s="9">
        <f>B3</f>
        <v>3.8634249999999998E-4</v>
      </c>
      <c r="B20" s="10">
        <f>C3</f>
        <v>7.8836800000000007E-6</v>
      </c>
      <c r="C20" s="11">
        <f>B2/B3/0.000001</f>
        <v>-66278.056387790639</v>
      </c>
      <c r="D20" s="12">
        <f>C2/B3/0.000001</f>
        <v>385.07438348097872</v>
      </c>
      <c r="E20" s="11">
        <f>D2/B3/0.000001</f>
        <v>8026.7793473407673</v>
      </c>
      <c r="F20" s="11">
        <f>E2/B3/0.000001</f>
        <v>910.91324407747027</v>
      </c>
      <c r="G20" s="10">
        <f>H3</f>
        <v>-7.298868E-2</v>
      </c>
      <c r="H20" s="10">
        <f>I3</f>
        <v>8.3166160000000003E-2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-0.60164997959934186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-0.1574680000229603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-0.54244111497662961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-7.2422068642591209E-2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-0.49696315036915556</v>
      </c>
      <c r="C25" s="20">
        <f t="shared" si="1"/>
        <v>-2.366050908734085E-2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-0.45891483816251794</v>
      </c>
      <c r="C26" s="20">
        <f t="shared" si="1"/>
        <v>3.5085753896708545E-3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-0.42469564020532846</v>
      </c>
      <c r="C27" s="20">
        <f t="shared" si="1"/>
        <v>1.7879962552091185E-2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-0.39232702745334719</v>
      </c>
      <c r="C28" s="20">
        <f t="shared" si="1"/>
        <v>2.468229503655359E-2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-0.3607746278270329</v>
      </c>
      <c r="C29" s="20">
        <f t="shared" si="1"/>
        <v>2.7020582814051584E-2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-0.32953221591308307</v>
      </c>
      <c r="C30" s="20">
        <f t="shared" si="1"/>
        <v>2.6747949486983988E-2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-0.29837359764468485</v>
      </c>
      <c r="C31" s="20">
        <f t="shared" si="1"/>
        <v>2.498134697346039E-2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-0.26720996684131265</v>
      </c>
      <c r="C32" s="20">
        <f t="shared" si="1"/>
        <v>2.240195945398538E-2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-0.23601195953794249</v>
      </c>
      <c r="C33" s="20">
        <f t="shared" si="1"/>
        <v>1.9429328025493933E-2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-0.20477023119987406</v>
      </c>
      <c r="C34" s="20">
        <f t="shared" si="1"/>
        <v>1.6323316692326319E-2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-0.17347806187523976</v>
      </c>
      <c r="C35" s="20">
        <f t="shared" si="1"/>
        <v>1.324539814168779E-2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-0.14212582043130423</v>
      </c>
      <c r="C36" s="20">
        <f t="shared" si="1"/>
        <v>1.0296762844419754E-2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-0.11070120680899621</v>
      </c>
      <c r="C37" s="20">
        <f t="shared" si="1"/>
        <v>7.5426420769113484E-3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-7.9191808721340559E-2</v>
      </c>
      <c r="C38" s="20">
        <f t="shared" si="1"/>
        <v>5.0278670761978042E-3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-4.7588165834662043E-2</v>
      </c>
      <c r="C39" s="20">
        <f t="shared" si="1"/>
        <v>2.7865295467497781E-3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-1.5886556707523571E-2</v>
      </c>
      <c r="C40" s="20">
        <f t="shared" si="1"/>
        <v>8.4761495683375991E-4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1.5908682411155395E-2</v>
      </c>
      <c r="C41" s="20">
        <f t="shared" si="1"/>
        <v>-7.6200847720367816E-4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4.7783197874419224E-2</v>
      </c>
      <c r="C42" s="20">
        <f t="shared" si="1"/>
        <v>-2.0162036255683725E-3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7.9710803990316451E-2</v>
      </c>
      <c r="C43" s="20">
        <f t="shared" si="1"/>
        <v>-2.8890780107001688E-3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0.11165160358771452</v>
      </c>
      <c r="C44" s="20">
        <f t="shared" si="1"/>
        <v>-3.3550410286431807E-3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0.14354986534288089</v>
      </c>
      <c r="C45" s="20">
        <f t="shared" si="1"/>
        <v>-3.3893604475688632E-3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0.17533146398824054</v>
      </c>
      <c r="C46" s="20">
        <f t="shared" si="1"/>
        <v>-2.9694232827328464E-3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0.2069005784846423</v>
      </c>
      <c r="C47" s="20">
        <f t="shared" si="1"/>
        <v>-2.0771516240769032E-3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0.23813514366172803</v>
      </c>
      <c r="C48" s="20">
        <f t="shared" si="1"/>
        <v>-7.0347246245949617E-4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0.26888036957106831</v>
      </c>
      <c r="C49" s="20">
        <f t="shared" si="1"/>
        <v>1.1431930011063047E-3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0.29893974367918535</v>
      </c>
      <c r="C50" s="20">
        <f t="shared" si="1"/>
        <v>3.4200929552418982E-3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0.32806380533231638</v>
      </c>
      <c r="C51" s="20">
        <f t="shared" si="1"/>
        <v>6.0159853019012633E-3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0.35593943215482099</v>
      </c>
      <c r="C52" s="20">
        <f t="shared" si="1"/>
        <v>8.6823938046561352E-3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0.38218761498030185</v>
      </c>
      <c r="C53" s="20">
        <f t="shared" si="1"/>
        <v>1.0899348296800093E-2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0.40638745096152407</v>
      </c>
      <c r="C54" s="20">
        <f t="shared" si="1"/>
        <v>1.1623432855041759E-2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0.42816072531475324</v>
      </c>
      <c r="C55" s="20">
        <f t="shared" si="1"/>
        <v>8.8344909195586501E-3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0.44737813154437467</v>
      </c>
      <c r="C56" s="20">
        <f t="shared" si="1"/>
        <v>-1.2475242020739295E-3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0.46458897815060946</v>
      </c>
      <c r="C57" s="20">
        <f t="shared" si="1"/>
        <v>-2.5465987709739624E-2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0.48183631978969327</v>
      </c>
      <c r="C58" s="20">
        <f t="shared" si="1"/>
        <v>-7.5824966915797334E-2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A2" sqref="A2:M16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-2.3978260000000001E-5</v>
      </c>
      <c r="C2" s="1">
        <v>1.3022210000000001E-7</v>
      </c>
      <c r="D2" s="1">
        <v>2.6049849999999998E-6</v>
      </c>
      <c r="E2" s="1">
        <v>3.5428070000000002E-7</v>
      </c>
      <c r="F2" s="1">
        <v>2.4119350000000001E-5</v>
      </c>
      <c r="G2" s="1">
        <v>1.4479380000000001E-7</v>
      </c>
      <c r="H2" s="1">
        <v>-0.10771509999999999</v>
      </c>
      <c r="I2" s="1">
        <v>5.3752510000000003E-2</v>
      </c>
      <c r="J2" s="2">
        <v>-2.3978260000000001E-5</v>
      </c>
      <c r="K2" s="1">
        <v>0</v>
      </c>
      <c r="L2" s="2">
        <v>2.6049849999999998E-6</v>
      </c>
      <c r="M2" s="1">
        <v>0</v>
      </c>
    </row>
    <row r="3" spans="1:13" x14ac:dyDescent="0.25">
      <c r="A3">
        <v>2</v>
      </c>
      <c r="B3" s="1">
        <v>2.6248100000000001E-4</v>
      </c>
      <c r="C3" s="1">
        <v>7.5114720000000001E-6</v>
      </c>
      <c r="D3" s="1">
        <v>-6.9840209999999997E-5</v>
      </c>
      <c r="E3" s="1">
        <v>1.858758E-5</v>
      </c>
      <c r="F3" s="1">
        <v>2.7161360000000002E-4</v>
      </c>
      <c r="G3" s="1">
        <v>8.7198420000000007E-6</v>
      </c>
      <c r="H3" s="1">
        <v>-0.1245632</v>
      </c>
      <c r="I3" s="1">
        <v>0.1207836</v>
      </c>
      <c r="J3" s="2">
        <v>2.6248100000000001E-4</v>
      </c>
      <c r="K3" s="1">
        <v>0</v>
      </c>
      <c r="L3" s="2">
        <v>-6.9840209999999997E-5</v>
      </c>
      <c r="M3" s="1">
        <v>0</v>
      </c>
    </row>
    <row r="4" spans="1:13" x14ac:dyDescent="0.25">
      <c r="A4">
        <v>3</v>
      </c>
      <c r="B4" s="1">
        <v>1.0871550000000001E-2</v>
      </c>
      <c r="C4" s="1">
        <v>4.5046849999999999E-4</v>
      </c>
      <c r="D4" s="1">
        <v>-3.200945E-4</v>
      </c>
      <c r="E4" s="1">
        <v>1.1844920000000001E-3</v>
      </c>
      <c r="F4" s="1">
        <v>1.087626E-2</v>
      </c>
      <c r="G4" s="1">
        <v>4.0653329999999999E-4</v>
      </c>
      <c r="H4" s="1">
        <v>-7.1616620000000001E-3</v>
      </c>
      <c r="I4" s="1">
        <v>0.13003390000000001</v>
      </c>
      <c r="J4" s="2">
        <v>1.0871550000000001E-2</v>
      </c>
      <c r="K4" s="1">
        <v>0</v>
      </c>
      <c r="L4" s="2">
        <v>-3.200945E-4</v>
      </c>
      <c r="M4" s="1">
        <v>0</v>
      </c>
    </row>
    <row r="5" spans="1:13" x14ac:dyDescent="0.25">
      <c r="A5">
        <v>4</v>
      </c>
      <c r="B5" s="1">
        <v>5.7639830000000003E-3</v>
      </c>
      <c r="C5" s="1">
        <v>3.216049E-2</v>
      </c>
      <c r="D5" s="1">
        <v>4.8861160000000001E-2</v>
      </c>
      <c r="E5" s="1">
        <v>6.6140580000000004E-2</v>
      </c>
      <c r="F5" s="1">
        <v>4.9199960000000001E-2</v>
      </c>
      <c r="G5" s="1">
        <v>4.3217640000000002E-2</v>
      </c>
      <c r="H5" s="1">
        <v>0.12559100000000001</v>
      </c>
      <c r="I5" s="1">
        <v>0.2154219</v>
      </c>
      <c r="J5" s="2">
        <v>5.7639830000000003E-3</v>
      </c>
      <c r="K5" s="1">
        <v>0</v>
      </c>
      <c r="L5" s="2">
        <v>4.8861160000000001E-2</v>
      </c>
      <c r="M5" s="1">
        <v>0</v>
      </c>
    </row>
    <row r="6" spans="1:13" x14ac:dyDescent="0.25">
      <c r="A6">
        <v>5</v>
      </c>
      <c r="B6" s="1">
        <v>2.46339</v>
      </c>
      <c r="C6" s="1">
        <v>1.7102539999999999</v>
      </c>
      <c r="D6" s="1">
        <v>-0.66322000000000003</v>
      </c>
      <c r="E6" s="1">
        <v>4.203373</v>
      </c>
      <c r="F6" s="1">
        <v>2.5511080000000002</v>
      </c>
      <c r="G6" s="1">
        <v>2.7684959999999998</v>
      </c>
      <c r="H6" s="1">
        <v>2.7152109999999999E-3</v>
      </c>
      <c r="I6" s="1">
        <v>0.2039019</v>
      </c>
      <c r="J6" s="2">
        <v>2.46339</v>
      </c>
      <c r="K6" s="1">
        <v>0</v>
      </c>
      <c r="L6" s="2">
        <v>-0.66322000000000003</v>
      </c>
      <c r="M6" s="1">
        <v>0</v>
      </c>
    </row>
    <row r="7" spans="1:13" x14ac:dyDescent="0.25">
      <c r="A7">
        <v>6</v>
      </c>
      <c r="B7" s="1">
        <v>76.222319999999996</v>
      </c>
      <c r="C7" s="1">
        <v>106.6507</v>
      </c>
      <c r="D7" s="1">
        <v>74.80762</v>
      </c>
      <c r="E7" s="1">
        <v>199.46799999999999</v>
      </c>
      <c r="F7" s="1">
        <v>106.79900000000001</v>
      </c>
      <c r="G7" s="1">
        <v>129.65629999999999</v>
      </c>
      <c r="H7" s="1">
        <v>-2.6751759999999999E-2</v>
      </c>
      <c r="I7" s="1">
        <v>0.15884889999999999</v>
      </c>
      <c r="J7" s="2">
        <v>76.222319999999996</v>
      </c>
      <c r="K7" s="1">
        <v>0</v>
      </c>
      <c r="L7" s="2">
        <v>74.80762</v>
      </c>
      <c r="M7" s="1">
        <v>0</v>
      </c>
    </row>
    <row r="8" spans="1:13" x14ac:dyDescent="0.25">
      <c r="A8">
        <v>7</v>
      </c>
      <c r="B8" s="1">
        <v>7975.3339999999998</v>
      </c>
      <c r="C8" s="1">
        <v>7659.9530000000004</v>
      </c>
      <c r="D8" s="1">
        <v>-14.744719999999999</v>
      </c>
      <c r="E8" s="1">
        <v>11618.49</v>
      </c>
      <c r="F8" s="1">
        <v>7975.3469999999998</v>
      </c>
      <c r="G8" s="1">
        <v>6480.12</v>
      </c>
      <c r="H8" s="1">
        <v>-4.8280070000000001E-2</v>
      </c>
      <c r="I8" s="1">
        <v>0.1325528</v>
      </c>
      <c r="J8" s="2">
        <v>7975.3339999999998</v>
      </c>
      <c r="K8" s="1">
        <v>0</v>
      </c>
      <c r="L8" s="2">
        <v>-14.744719999999999</v>
      </c>
      <c r="M8" s="1">
        <v>0</v>
      </c>
    </row>
    <row r="9" spans="1:13" x14ac:dyDescent="0.25">
      <c r="A9">
        <v>8</v>
      </c>
      <c r="B9" s="1">
        <v>464702</v>
      </c>
      <c r="C9" s="1">
        <v>415846.9</v>
      </c>
      <c r="D9" s="1">
        <v>-645790.4</v>
      </c>
      <c r="E9" s="1">
        <v>964999.8</v>
      </c>
      <c r="F9" s="1">
        <v>795608.7</v>
      </c>
      <c r="G9" s="1">
        <v>500110.7</v>
      </c>
      <c r="H9" s="1">
        <v>-1.9566650000000001E-2</v>
      </c>
      <c r="I9" s="1">
        <v>0.1329505</v>
      </c>
      <c r="J9" s="2">
        <v>464702</v>
      </c>
      <c r="K9" s="1">
        <v>0</v>
      </c>
      <c r="L9" s="2">
        <v>-645790.4</v>
      </c>
      <c r="M9" s="1">
        <v>0</v>
      </c>
    </row>
    <row r="10" spans="1:13" x14ac:dyDescent="0.25">
      <c r="A10">
        <v>9</v>
      </c>
      <c r="B10" s="1">
        <v>-9831622</v>
      </c>
      <c r="C10" s="1">
        <v>31231320</v>
      </c>
      <c r="D10" s="1">
        <v>7139586</v>
      </c>
      <c r="E10" s="1">
        <v>57444110</v>
      </c>
      <c r="F10" s="1">
        <v>12150490</v>
      </c>
      <c r="G10" s="1">
        <v>39605650</v>
      </c>
      <c r="H10" s="1">
        <v>4.0081190000000003E-2</v>
      </c>
      <c r="I10" s="1">
        <v>0.1070972</v>
      </c>
      <c r="J10" s="2">
        <v>-9831622</v>
      </c>
      <c r="K10" s="1">
        <v>0</v>
      </c>
      <c r="L10" s="2">
        <v>7139586</v>
      </c>
      <c r="M10" s="1">
        <v>0</v>
      </c>
    </row>
    <row r="11" spans="1:13" x14ac:dyDescent="0.25">
      <c r="A11">
        <v>10</v>
      </c>
      <c r="B11" s="1">
        <v>2232092000</v>
      </c>
      <c r="C11" s="1">
        <v>2108574000</v>
      </c>
      <c r="D11" s="1">
        <v>1676632000</v>
      </c>
      <c r="E11" s="1">
        <v>2374579000</v>
      </c>
      <c r="F11" s="1">
        <v>2791654000</v>
      </c>
      <c r="G11" s="1">
        <v>1971538000</v>
      </c>
      <c r="H11" s="1">
        <v>7.8937399999999998E-3</v>
      </c>
      <c r="I11" s="1">
        <v>8.0690949999999997E-2</v>
      </c>
      <c r="J11" s="2">
        <v>2232092000</v>
      </c>
      <c r="K11" s="1">
        <v>0</v>
      </c>
      <c r="L11" s="2">
        <v>1676632000</v>
      </c>
      <c r="M11" s="1">
        <v>0</v>
      </c>
    </row>
    <row r="12" spans="1:13" x14ac:dyDescent="0.25">
      <c r="A12">
        <v>11</v>
      </c>
      <c r="B12" s="1">
        <v>86122750000</v>
      </c>
      <c r="C12" s="1">
        <v>109046300000</v>
      </c>
      <c r="D12" s="1">
        <v>-295060300000</v>
      </c>
      <c r="E12" s="1">
        <v>123073700000</v>
      </c>
      <c r="F12" s="1">
        <v>307372300000</v>
      </c>
      <c r="G12" s="1">
        <v>84270490000</v>
      </c>
      <c r="H12" s="1">
        <v>-3.6769900000000001E-2</v>
      </c>
      <c r="I12" s="1">
        <v>7.9349310000000006E-2</v>
      </c>
      <c r="J12" s="2">
        <v>86122750000</v>
      </c>
      <c r="K12" s="1">
        <v>0</v>
      </c>
      <c r="L12" s="2">
        <v>-295060300000</v>
      </c>
      <c r="M12" s="1">
        <v>0</v>
      </c>
    </row>
    <row r="13" spans="1:13" x14ac:dyDescent="0.25">
      <c r="A13">
        <v>12</v>
      </c>
      <c r="B13" s="1">
        <v>1424465000000</v>
      </c>
      <c r="C13" s="1">
        <v>6144000000000</v>
      </c>
      <c r="D13" s="1">
        <v>-2842516000000</v>
      </c>
      <c r="E13" s="1">
        <v>8985318000000</v>
      </c>
      <c r="F13" s="1">
        <v>3179465000000</v>
      </c>
      <c r="G13" s="1">
        <v>4407403000000</v>
      </c>
      <c r="H13" s="1">
        <v>1.6331539999999999E-2</v>
      </c>
      <c r="I13" s="1">
        <v>7.5454770000000004E-2</v>
      </c>
      <c r="J13" s="2">
        <v>1424465000000</v>
      </c>
      <c r="K13" s="1">
        <v>0</v>
      </c>
      <c r="L13" s="2">
        <v>-2842516000000</v>
      </c>
      <c r="M13" s="1">
        <v>0</v>
      </c>
    </row>
    <row r="14" spans="1:13" x14ac:dyDescent="0.25">
      <c r="A14">
        <v>13</v>
      </c>
      <c r="B14" s="1">
        <v>-362280800000000</v>
      </c>
      <c r="C14" s="1">
        <v>565325500000000</v>
      </c>
      <c r="D14" s="1">
        <v>116810500000000</v>
      </c>
      <c r="E14" s="1">
        <v>626902700000000</v>
      </c>
      <c r="F14" s="1">
        <v>380646900000000</v>
      </c>
      <c r="G14" s="1">
        <v>404396500000000</v>
      </c>
      <c r="H14" s="1">
        <v>-1.8352920000000002E-2</v>
      </c>
      <c r="I14" s="1">
        <v>7.5979320000000003E-2</v>
      </c>
      <c r="J14" s="2">
        <v>-362280800000000</v>
      </c>
      <c r="K14" s="1">
        <v>0</v>
      </c>
      <c r="L14" s="2">
        <v>116810500000000</v>
      </c>
      <c r="M14" s="1">
        <v>0</v>
      </c>
    </row>
    <row r="15" spans="1:13" x14ac:dyDescent="0.25">
      <c r="A15">
        <v>14</v>
      </c>
      <c r="B15" s="1">
        <v>2.498603E+16</v>
      </c>
      <c r="C15" s="1">
        <v>2.720309E+16</v>
      </c>
      <c r="D15" s="1">
        <v>8452842000000000</v>
      </c>
      <c r="E15" s="1">
        <v>3.532182E+16</v>
      </c>
      <c r="F15" s="1">
        <v>2.637712E+16</v>
      </c>
      <c r="G15" s="1">
        <v>2.043907E+16</v>
      </c>
      <c r="H15" s="1">
        <v>4.9224159999999998E-3</v>
      </c>
      <c r="I15" s="1">
        <v>6.3302629999999999E-2</v>
      </c>
      <c r="J15" s="2">
        <v>2.498603E+16</v>
      </c>
      <c r="K15" s="1">
        <v>0</v>
      </c>
      <c r="L15" s="2">
        <v>8452842000000000</v>
      </c>
      <c r="M15" s="1">
        <v>0</v>
      </c>
    </row>
    <row r="16" spans="1:13" x14ac:dyDescent="0.25">
      <c r="A16">
        <v>15</v>
      </c>
      <c r="B16" s="1">
        <v>-1.836686E+17</v>
      </c>
      <c r="C16" s="1">
        <v>1.561132E+18</v>
      </c>
      <c r="D16" s="1">
        <v>-3.046229E+18</v>
      </c>
      <c r="E16" s="1">
        <v>1.363932E+18</v>
      </c>
      <c r="F16" s="1">
        <v>3.051761E+18</v>
      </c>
      <c r="G16" s="1">
        <v>1.055917E+18</v>
      </c>
      <c r="H16" s="1">
        <v>-7.6473459999999997E-4</v>
      </c>
      <c r="I16" s="1">
        <v>5.2863420000000001E-2</v>
      </c>
      <c r="J16" s="2">
        <v>-1.836686E+17</v>
      </c>
      <c r="K16" s="1">
        <v>0</v>
      </c>
      <c r="L16" s="2">
        <v>-3.046229E+18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2.6248100000000001E-4</v>
      </c>
      <c r="B20" s="10">
        <f>C3</f>
        <v>7.5114720000000001E-6</v>
      </c>
      <c r="C20" s="11">
        <f>B2/B3/0.000001</f>
        <v>-91352.364552100917</v>
      </c>
      <c r="D20" s="12">
        <f>C2/B3/0.000001</f>
        <v>496.12010012153269</v>
      </c>
      <c r="E20" s="11">
        <f>D2/B3/0.000001</f>
        <v>9924.4707235952301</v>
      </c>
      <c r="F20" s="11">
        <f>E2/B3/0.000001</f>
        <v>1349.7384572597637</v>
      </c>
      <c r="G20" s="10">
        <f>H3</f>
        <v>-0.1245632</v>
      </c>
      <c r="H20" s="10">
        <f>I3</f>
        <v>0.1207836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-0.52873238987648974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0.40757617264295692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-0.58440461250105391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0.24554007878639869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-0.59623257010786568</v>
      </c>
      <c r="C25" s="20">
        <f t="shared" si="1"/>
        <v>0.15549645523569075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-0.58282651675456043</v>
      </c>
      <c r="C26" s="20">
        <f t="shared" si="1"/>
        <v>0.10517698934608033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-0.55527127326721748</v>
      </c>
      <c r="C27" s="20">
        <f t="shared" si="1"/>
        <v>7.630653709225442E-2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-0.52002375066951601</v>
      </c>
      <c r="C28" s="20">
        <f t="shared" si="1"/>
        <v>5.8793309043306027E-2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-0.48076104925979929</v>
      </c>
      <c r="C29" s="20">
        <f t="shared" si="1"/>
        <v>4.7216835678927684E-2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-0.43952935606161742</v>
      </c>
      <c r="C30" s="20">
        <f t="shared" si="1"/>
        <v>3.8756244044844824E-2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-0.39743911443419822</v>
      </c>
      <c r="C31" s="20">
        <f t="shared" si="1"/>
        <v>3.1997974020590292E-2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-0.35507424585036484</v>
      </c>
      <c r="C32" s="20">
        <f t="shared" si="1"/>
        <v>2.6266249309801374E-2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-0.31272683451343491</v>
      </c>
      <c r="C33" s="20">
        <f t="shared" si="1"/>
        <v>2.1256246944758951E-2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-0.27052882785479121</v>
      </c>
      <c r="C34" s="20">
        <f t="shared" si="1"/>
        <v>1.683842715594449E-2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-0.22852496956808094</v>
      </c>
      <c r="C35" s="20">
        <f t="shared" si="1"/>
        <v>1.2957783183216927E-2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-0.18671310715819062</v>
      </c>
      <c r="C36" s="20">
        <f t="shared" si="1"/>
        <v>9.5849552810239082E-3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-0.14506658741181697</v>
      </c>
      <c r="C37" s="20">
        <f t="shared" si="1"/>
        <v>6.695251042982118E-3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-0.10354661643069239</v>
      </c>
      <c r="C38" s="20">
        <f t="shared" si="1"/>
        <v>4.2622001543293139E-3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-6.2108644631256385E-2</v>
      </c>
      <c r="C39" s="20">
        <f t="shared" si="1"/>
        <v>2.2580267876234654E-3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-2.0704879233117007E-2</v>
      </c>
      <c r="C40" s="20">
        <f t="shared" si="1"/>
        <v>6.5661936787001667E-4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2.0715895397447073E-2</v>
      </c>
      <c r="C41" s="20">
        <f t="shared" si="1"/>
        <v>-5.6350820635874932E-4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6.2210443906501059E-2</v>
      </c>
      <c r="C42" s="20">
        <f t="shared" si="1"/>
        <v>-1.4175163474209353E-3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0.103844689066334</v>
      </c>
      <c r="C43" s="20">
        <f t="shared" si="1"/>
        <v>-1.9142260859795382E-3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0.1456986475660125</v>
      </c>
      <c r="C44" s="20">
        <f t="shared" si="1"/>
        <v>-2.057773326203455E-3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0.1878729415816339</v>
      </c>
      <c r="C45" s="20">
        <f t="shared" si="1"/>
        <v>-1.8508744963275016E-3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0.23049765456840943</v>
      </c>
      <c r="C46" s="20">
        <f t="shared" si="1"/>
        <v>-1.3000538012368501E-3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0.27374493518724813</v>
      </c>
      <c r="C47" s="20">
        <f t="shared" si="1"/>
        <v>-4.2410846819542603E-4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0.31784753244248776</v>
      </c>
      <c r="C48" s="20">
        <f t="shared" si="1"/>
        <v>7.3126228135011551E-4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0.36312645561908302</v>
      </c>
      <c r="C49" s="20">
        <f t="shared" si="1"/>
        <v>2.0668682825141509E-3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0.41003237255982738</v>
      </c>
      <c r="C50" s="20">
        <f t="shared" si="1"/>
        <v>3.3805617354943952E-3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0.45920748373685211</v>
      </c>
      <c r="C51" s="20">
        <f t="shared" si="1"/>
        <v>4.2747311017840069E-3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0.51157787002720301</v>
      </c>
      <c r="C52" s="20">
        <f t="shared" si="1"/>
        <v>3.984132597638944E-3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0.56849129701453804</v>
      </c>
      <c r="C53" s="20">
        <f t="shared" si="1"/>
        <v>1.0589845944970683E-3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0.63192292417423934</v>
      </c>
      <c r="C54" s="20">
        <f t="shared" si="1"/>
        <v>-7.2091693323487827E-3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0.70478224643534482</v>
      </c>
      <c r="C55" s="20">
        <f t="shared" si="1"/>
        <v>-2.5807491266879246E-2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0.79137000234172916</v>
      </c>
      <c r="C56" s="20">
        <f t="shared" si="1"/>
        <v>-6.3774608680289988E-2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0.89805501220843131</v>
      </c>
      <c r="C57" s="20">
        <f t="shared" si="1"/>
        <v>-0.13721058770072611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1.0342694324862356</v>
      </c>
      <c r="C58" s="20">
        <f t="shared" si="1"/>
        <v>-0.27426823843137971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B21" sqref="B21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-2.4417999999999999E-5</v>
      </c>
      <c r="C2" s="1">
        <v>1.143994E-7</v>
      </c>
      <c r="D2" s="1">
        <v>3.2064529999999999E-6</v>
      </c>
      <c r="E2" s="1">
        <v>3.7151059999999998E-7</v>
      </c>
      <c r="F2" s="1">
        <v>2.462763E-5</v>
      </c>
      <c r="G2" s="1">
        <v>1.153808E-7</v>
      </c>
      <c r="H2" s="1">
        <v>-0.13038930000000001</v>
      </c>
      <c r="I2" s="1">
        <v>5.6206649999999997E-2</v>
      </c>
      <c r="J2" s="2">
        <v>-2.4417999999999999E-5</v>
      </c>
      <c r="K2" s="1">
        <v>0</v>
      </c>
      <c r="L2" s="2">
        <v>3.2064529999999999E-6</v>
      </c>
      <c r="M2" s="1">
        <v>0</v>
      </c>
    </row>
    <row r="3" spans="1:13" x14ac:dyDescent="0.25">
      <c r="A3">
        <v>2</v>
      </c>
      <c r="B3" s="1">
        <v>3.8458779999999998E-4</v>
      </c>
      <c r="C3" s="1">
        <v>7.2998970000000003E-6</v>
      </c>
      <c r="D3" s="1">
        <v>-4.3508409999999999E-5</v>
      </c>
      <c r="E3" s="1">
        <v>1.87413E-5</v>
      </c>
      <c r="F3" s="1">
        <v>3.8704100000000002E-4</v>
      </c>
      <c r="G3" s="1">
        <v>7.5014989999999999E-6</v>
      </c>
      <c r="H3" s="1">
        <v>-5.6114499999999998E-2</v>
      </c>
      <c r="I3" s="1">
        <v>8.8441409999999998E-2</v>
      </c>
      <c r="J3" s="2">
        <v>3.8458779999999998E-4</v>
      </c>
      <c r="K3" s="1">
        <v>0</v>
      </c>
      <c r="L3" s="2">
        <v>-4.3508409999999999E-5</v>
      </c>
      <c r="M3" s="1">
        <v>0</v>
      </c>
    </row>
    <row r="4" spans="1:13" x14ac:dyDescent="0.25">
      <c r="A4">
        <v>3</v>
      </c>
      <c r="B4" s="1">
        <v>1.1413009999999999E-2</v>
      </c>
      <c r="C4" s="1">
        <v>3.4477880000000001E-4</v>
      </c>
      <c r="D4" s="1">
        <v>9.8576859999999992E-4</v>
      </c>
      <c r="E4" s="1">
        <v>1.0460739999999999E-3</v>
      </c>
      <c r="F4" s="1">
        <v>1.14555E-2</v>
      </c>
      <c r="G4" s="1">
        <v>3.3308909999999999E-4</v>
      </c>
      <c r="H4" s="1">
        <v>2.4066540000000001E-2</v>
      </c>
      <c r="I4" s="1">
        <v>0.11075889999999999</v>
      </c>
      <c r="J4" s="2">
        <v>1.1413009999999999E-2</v>
      </c>
      <c r="K4" s="1">
        <v>0</v>
      </c>
      <c r="L4" s="2">
        <v>9.8576859999999992E-4</v>
      </c>
      <c r="M4" s="1">
        <v>0</v>
      </c>
    </row>
    <row r="5" spans="1:13" x14ac:dyDescent="0.25">
      <c r="A5">
        <v>4</v>
      </c>
      <c r="B5" s="1">
        <v>-3.1532650000000002E-2</v>
      </c>
      <c r="C5" s="1">
        <v>1.8571480000000001E-2</v>
      </c>
      <c r="D5" s="1">
        <v>3.911717E-2</v>
      </c>
      <c r="E5" s="1">
        <v>7.1869799999999998E-2</v>
      </c>
      <c r="F5" s="1">
        <v>5.024402E-2</v>
      </c>
      <c r="G5" s="1">
        <v>3.5901849999999999E-2</v>
      </c>
      <c r="H5" s="1">
        <v>3.1891259999999998E-2</v>
      </c>
      <c r="I5" s="1">
        <v>0.31842749999999997</v>
      </c>
      <c r="J5" s="2">
        <v>-3.1532650000000002E-2</v>
      </c>
      <c r="K5" s="1">
        <v>0</v>
      </c>
      <c r="L5" s="2">
        <v>3.911717E-2</v>
      </c>
      <c r="M5" s="1">
        <v>0</v>
      </c>
    </row>
    <row r="6" spans="1:13" x14ac:dyDescent="0.25">
      <c r="A6">
        <v>5</v>
      </c>
      <c r="B6" s="1">
        <v>0.48501319999999998</v>
      </c>
      <c r="C6" s="1">
        <v>1.9615069999999999</v>
      </c>
      <c r="D6" s="1">
        <v>1.7258770000000001</v>
      </c>
      <c r="E6" s="1">
        <v>4.101559</v>
      </c>
      <c r="F6" s="1">
        <v>1.792732</v>
      </c>
      <c r="G6" s="1">
        <v>2.3444219999999998</v>
      </c>
      <c r="H6" s="1">
        <v>-6.5174070000000001E-2</v>
      </c>
      <c r="I6" s="1">
        <v>0.2036027</v>
      </c>
      <c r="J6" s="2">
        <v>0.48501319999999998</v>
      </c>
      <c r="K6" s="1">
        <v>0</v>
      </c>
      <c r="L6" s="2">
        <v>1.7258770000000001</v>
      </c>
      <c r="M6" s="1">
        <v>0</v>
      </c>
    </row>
    <row r="7" spans="1:13" x14ac:dyDescent="0.25">
      <c r="A7">
        <v>6</v>
      </c>
      <c r="B7" s="1">
        <v>174.74279999999999</v>
      </c>
      <c r="C7" s="1">
        <v>117.4888</v>
      </c>
      <c r="D7" s="1">
        <v>41.552729999999997</v>
      </c>
      <c r="E7" s="1">
        <v>210.26580000000001</v>
      </c>
      <c r="F7" s="1">
        <v>179.61529999999999</v>
      </c>
      <c r="G7" s="1">
        <v>165.36320000000001</v>
      </c>
      <c r="H7" s="1">
        <v>1.297944E-2</v>
      </c>
      <c r="I7" s="1">
        <v>0.15377160000000001</v>
      </c>
      <c r="J7" s="2">
        <v>174.74279999999999</v>
      </c>
      <c r="K7" s="1">
        <v>0</v>
      </c>
      <c r="L7" s="2">
        <v>41.552729999999997</v>
      </c>
      <c r="M7" s="1">
        <v>0</v>
      </c>
    </row>
    <row r="8" spans="1:13" x14ac:dyDescent="0.25">
      <c r="A8">
        <v>7</v>
      </c>
      <c r="B8" s="1">
        <v>-5881.9129999999996</v>
      </c>
      <c r="C8" s="1">
        <v>8812.7819999999992</v>
      </c>
      <c r="D8" s="1">
        <v>14514.04</v>
      </c>
      <c r="E8" s="1">
        <v>14686.98</v>
      </c>
      <c r="F8" s="1">
        <v>15660.6</v>
      </c>
      <c r="G8" s="1">
        <v>7957.8670000000002</v>
      </c>
      <c r="H8" s="1">
        <v>1.5578939999999999E-2</v>
      </c>
      <c r="I8" s="1">
        <v>0.14689450000000001</v>
      </c>
      <c r="J8" s="2">
        <v>-5881.9129999999996</v>
      </c>
      <c r="K8" s="1">
        <v>0</v>
      </c>
      <c r="L8" s="2">
        <v>14514.04</v>
      </c>
      <c r="M8" s="1">
        <v>0</v>
      </c>
    </row>
    <row r="9" spans="1:13" x14ac:dyDescent="0.25">
      <c r="A9">
        <v>8</v>
      </c>
      <c r="B9" s="1">
        <v>-164221.6</v>
      </c>
      <c r="C9" s="1">
        <v>393760.9</v>
      </c>
      <c r="D9" s="1">
        <v>-417220.2</v>
      </c>
      <c r="E9" s="1">
        <v>747000</v>
      </c>
      <c r="F9" s="1">
        <v>448376.4</v>
      </c>
      <c r="G9" s="1">
        <v>369842.4</v>
      </c>
      <c r="H9" s="1">
        <v>-2.008592E-2</v>
      </c>
      <c r="I9" s="1">
        <v>0.13672290000000001</v>
      </c>
      <c r="J9" s="2">
        <v>-164221.6</v>
      </c>
      <c r="K9" s="1">
        <v>0</v>
      </c>
      <c r="L9" s="2">
        <v>-417220.2</v>
      </c>
      <c r="M9" s="1">
        <v>0</v>
      </c>
    </row>
    <row r="10" spans="1:13" x14ac:dyDescent="0.25">
      <c r="A10">
        <v>9</v>
      </c>
      <c r="B10" s="1">
        <v>36508820</v>
      </c>
      <c r="C10" s="1">
        <v>20557130</v>
      </c>
      <c r="D10" s="1">
        <v>-9012133</v>
      </c>
      <c r="E10" s="1">
        <v>45491440</v>
      </c>
      <c r="F10" s="1">
        <v>37604690</v>
      </c>
      <c r="G10" s="1">
        <v>20146210</v>
      </c>
      <c r="H10" s="1">
        <v>-2.0053709999999999E-2</v>
      </c>
      <c r="I10" s="1">
        <v>0.1219061</v>
      </c>
      <c r="J10" s="2">
        <v>36508820</v>
      </c>
      <c r="K10" s="1">
        <v>0</v>
      </c>
      <c r="L10" s="2">
        <v>-9012133</v>
      </c>
      <c r="M10" s="1">
        <v>0</v>
      </c>
    </row>
    <row r="11" spans="1:13" x14ac:dyDescent="0.25">
      <c r="A11">
        <v>10</v>
      </c>
      <c r="B11" s="1">
        <v>588036200</v>
      </c>
      <c r="C11" s="1">
        <v>1756935000</v>
      </c>
      <c r="D11" s="1">
        <v>-2127696000</v>
      </c>
      <c r="E11" s="1">
        <v>2286366000</v>
      </c>
      <c r="F11" s="1">
        <v>2207460000</v>
      </c>
      <c r="G11" s="1">
        <v>1441072000</v>
      </c>
      <c r="H11" s="1">
        <v>-2.1080479999999999E-2</v>
      </c>
      <c r="I11" s="1">
        <v>8.1545049999999994E-2</v>
      </c>
      <c r="J11" s="2">
        <v>588036200</v>
      </c>
      <c r="K11" s="1">
        <v>0</v>
      </c>
      <c r="L11" s="2">
        <v>-2127696000</v>
      </c>
      <c r="M11" s="1">
        <v>0</v>
      </c>
    </row>
    <row r="12" spans="1:13" x14ac:dyDescent="0.25">
      <c r="A12">
        <v>11</v>
      </c>
      <c r="B12" s="1">
        <v>-102104500000</v>
      </c>
      <c r="C12" s="1">
        <v>116603000000</v>
      </c>
      <c r="D12" s="1">
        <v>125434400000</v>
      </c>
      <c r="E12" s="1">
        <v>205612100000</v>
      </c>
      <c r="F12" s="1">
        <v>161737800000</v>
      </c>
      <c r="G12" s="1">
        <v>137128300000</v>
      </c>
      <c r="H12" s="1">
        <v>2.0215960000000002E-2</v>
      </c>
      <c r="I12" s="1">
        <v>8.4364519999999998E-2</v>
      </c>
      <c r="J12" s="2">
        <v>-102104500000</v>
      </c>
      <c r="K12" s="1">
        <v>0</v>
      </c>
      <c r="L12" s="2">
        <v>125434400000</v>
      </c>
      <c r="M12" s="1">
        <v>0</v>
      </c>
    </row>
    <row r="13" spans="1:13" x14ac:dyDescent="0.25">
      <c r="A13">
        <v>12</v>
      </c>
      <c r="B13" s="1">
        <v>-7397713000000</v>
      </c>
      <c r="C13" s="1">
        <v>6475204000000</v>
      </c>
      <c r="D13" s="1">
        <v>-4150729000000</v>
      </c>
      <c r="E13" s="1">
        <v>10638440000000</v>
      </c>
      <c r="F13" s="1">
        <v>8482612000000</v>
      </c>
      <c r="G13" s="1">
        <v>6230035000000</v>
      </c>
      <c r="H13" s="1">
        <v>2.7411120000000001E-2</v>
      </c>
      <c r="I13" s="1">
        <v>8.4324819999999995E-2</v>
      </c>
      <c r="J13" s="2">
        <v>-7397713000000</v>
      </c>
      <c r="K13" s="1">
        <v>0</v>
      </c>
      <c r="L13" s="2">
        <v>-4150729000000</v>
      </c>
      <c r="M13" s="1">
        <v>0</v>
      </c>
    </row>
    <row r="14" spans="1:13" x14ac:dyDescent="0.25">
      <c r="A14">
        <v>13</v>
      </c>
      <c r="B14" s="1">
        <v>871740400000000</v>
      </c>
      <c r="C14" s="1">
        <v>375347800000000</v>
      </c>
      <c r="D14" s="1">
        <v>230424200000000</v>
      </c>
      <c r="E14" s="1">
        <v>458205600000000</v>
      </c>
      <c r="F14" s="1">
        <v>901679900000000</v>
      </c>
      <c r="G14" s="1">
        <v>233967300000000</v>
      </c>
      <c r="H14" s="1">
        <v>-2.6586750000000001E-3</v>
      </c>
      <c r="I14" s="1">
        <v>7.8930879999999995E-2</v>
      </c>
      <c r="J14" s="2">
        <v>871740400000000</v>
      </c>
      <c r="K14" s="1">
        <v>0</v>
      </c>
      <c r="L14" s="2">
        <v>230424200000000</v>
      </c>
      <c r="M14" s="1">
        <v>0</v>
      </c>
    </row>
    <row r="15" spans="1:13" x14ac:dyDescent="0.25">
      <c r="A15">
        <v>14</v>
      </c>
      <c r="B15" s="1">
        <v>1.689081E+16</v>
      </c>
      <c r="C15" s="1">
        <v>1.480351E+16</v>
      </c>
      <c r="D15" s="1">
        <v>-3.691279E+16</v>
      </c>
      <c r="E15" s="1">
        <v>2.83127E+16</v>
      </c>
      <c r="F15" s="1">
        <v>4.059376E+16</v>
      </c>
      <c r="G15" s="1">
        <v>1.802761E+16</v>
      </c>
      <c r="H15" s="1">
        <v>-3.3347109999999999E-4</v>
      </c>
      <c r="I15" s="1">
        <v>8.0985379999999996E-2</v>
      </c>
      <c r="J15" s="2">
        <v>1.689081E+16</v>
      </c>
      <c r="K15" s="1">
        <v>0</v>
      </c>
      <c r="L15" s="2">
        <v>-3.691279E+16</v>
      </c>
      <c r="M15" s="1">
        <v>0</v>
      </c>
    </row>
    <row r="16" spans="1:13" x14ac:dyDescent="0.25">
      <c r="A16">
        <v>15</v>
      </c>
      <c r="B16" s="1">
        <v>-6.936809E+17</v>
      </c>
      <c r="C16" s="1">
        <v>1.106709E+18</v>
      </c>
      <c r="D16" s="1">
        <v>2.010954E+18</v>
      </c>
      <c r="E16" s="1">
        <v>1.991479E+18</v>
      </c>
      <c r="F16" s="1">
        <v>2.127235E+18</v>
      </c>
      <c r="G16" s="1">
        <v>1.210024E+18</v>
      </c>
      <c r="H16" s="1">
        <v>1.0414919999999999E-2</v>
      </c>
      <c r="I16" s="1">
        <v>6.3319070000000005E-2</v>
      </c>
      <c r="J16" s="2">
        <v>-6.936809E+17</v>
      </c>
      <c r="K16" s="1">
        <v>0</v>
      </c>
      <c r="L16" s="2">
        <v>2.010954E+18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3.8458779999999998E-4</v>
      </c>
      <c r="B20" s="10">
        <f>C3</f>
        <v>7.2998970000000003E-6</v>
      </c>
      <c r="C20" s="11">
        <f>B2/B3/0.000001</f>
        <v>-63491.353599880189</v>
      </c>
      <c r="D20" s="12">
        <f>C2/B3/0.000001</f>
        <v>297.45977381497801</v>
      </c>
      <c r="E20" s="11">
        <f>D2/B3/0.000001</f>
        <v>8337.3757565892629</v>
      </c>
      <c r="F20" s="11">
        <f>E2/B3/0.000001</f>
        <v>965.99684129345758</v>
      </c>
      <c r="G20" s="10">
        <f>H3</f>
        <v>-5.6114499999999998E-2</v>
      </c>
      <c r="H20" s="10">
        <f>I3</f>
        <v>8.8441409999999998E-2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-0.58554625589609832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-0.4198149297821353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-0.52772315115512836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-0.25209751736555974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-0.48168090962589055</v>
      </c>
      <c r="C25" s="20">
        <f t="shared" si="1"/>
        <v>-0.1549275258942201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-0.44310102374562915</v>
      </c>
      <c r="C26" s="20">
        <f t="shared" si="1"/>
        <v>-9.8696254372642289E-2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-0.40894163455477484</v>
      </c>
      <c r="C27" s="20">
        <f t="shared" si="1"/>
        <v>-6.5954268756415566E-2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-0.37719247145297635</v>
      </c>
      <c r="C28" s="20">
        <f t="shared" si="1"/>
        <v>-4.6590467240976749E-2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-0.34660966012580707</v>
      </c>
      <c r="C29" s="20">
        <f t="shared" si="1"/>
        <v>-3.4827610686467586E-2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-0.31648047878021968</v>
      </c>
      <c r="C30" s="20">
        <f t="shared" si="1"/>
        <v>-2.7394598855122548E-2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-0.28643740604294815</v>
      </c>
      <c r="C31" s="20">
        <f t="shared" si="1"/>
        <v>-2.2442257844242499E-2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-0.25632310518534079</v>
      </c>
      <c r="C32" s="20">
        <f t="shared" si="1"/>
        <v>-1.8916391012952435E-2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-0.22609916257392348</v>
      </c>
      <c r="C33" s="20">
        <f t="shared" si="1"/>
        <v>-1.6204052468685989E-2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-0.19578825303990846</v>
      </c>
      <c r="C34" s="20">
        <f t="shared" si="1"/>
        <v>-1.3938211574883022E-2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-0.16543957644118762</v>
      </c>
      <c r="C35" s="20">
        <f t="shared" si="1"/>
        <v>-1.1891457287901213E-2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-0.1351092199119408</v>
      </c>
      <c r="C36" s="20">
        <f t="shared" si="1"/>
        <v>-9.9182841564257069E-3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-0.10484942990113223</v>
      </c>
      <c r="C37" s="20">
        <f t="shared" si="1"/>
        <v>-7.9231779495960823E-3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-7.47029502168087E-2</v>
      </c>
      <c r="C38" s="20">
        <f t="shared" si="1"/>
        <v>-5.8420999868892525E-3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-4.4700257149930027E-2</v>
      </c>
      <c r="C39" s="20">
        <f t="shared" si="1"/>
        <v>-3.6308188031597042E-3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-1.4858603644639387E-2</v>
      </c>
      <c r="C40" s="20">
        <f t="shared" si="1"/>
        <v>-1.2567185051120646E-3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1.4817665041602066E-2</v>
      </c>
      <c r="C41" s="20">
        <f t="shared" si="1"/>
        <v>1.3075879451632073E-3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4.4335889465800381E-2</v>
      </c>
      <c r="C42" s="20">
        <f t="shared" si="1"/>
        <v>4.0895914736506986E-3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7.3713358569282336E-2</v>
      </c>
      <c r="C43" s="20">
        <f t="shared" si="1"/>
        <v>7.1213933873777013E-3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0.10297551062563258</v>
      </c>
      <c r="C44" s="20">
        <f t="shared" si="1"/>
        <v>1.0443303105394562E-2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0.13215452661828161</v>
      </c>
      <c r="C45" s="20">
        <f t="shared" si="1"/>
        <v>1.4106263892741692E-2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0.16128869130779608</v>
      </c>
      <c r="C46" s="20">
        <f t="shared" si="1"/>
        <v>1.8172747501652889E-2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0.19042282456220547</v>
      </c>
      <c r="C47" s="20">
        <f t="shared" si="1"/>
        <v>2.2715712123527288E-2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0.21961020889615032</v>
      </c>
      <c r="C48" s="20">
        <f t="shared" si="1"/>
        <v>2.7815197422202342E-2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0.24891704645133098</v>
      </c>
      <c r="C49" s="20">
        <f t="shared" si="1"/>
        <v>3.3552159597839297E-2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0.2784319373339762</v>
      </c>
      <c r="C50" s="20">
        <f t="shared" si="1"/>
        <v>3.999936778773288E-2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0.30828559890925583</v>
      </c>
      <c r="C51" s="20">
        <f t="shared" si="1"/>
        <v>4.7209945980623731E-2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0.33869046932736813</v>
      </c>
      <c r="C52" s="20">
        <f t="shared" si="1"/>
        <v>5.5206156414686437E-2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0.37001634262790728</v>
      </c>
      <c r="C53" s="20">
        <f t="shared" si="1"/>
        <v>6.3975500297970875E-2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0.40292704586107719</v>
      </c>
      <c r="C54" s="20">
        <f t="shared" si="1"/>
        <v>7.3490091753788525E-2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0.43861448918415052</v>
      </c>
      <c r="C55" s="20">
        <f t="shared" si="1"/>
        <v>8.3781417027862834E-2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0.47918003036829376</v>
      </c>
      <c r="C56" s="20">
        <f t="shared" si="1"/>
        <v>9.5130106177090112E-2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0.5282284653395074</v>
      </c>
      <c r="C57" s="20">
        <f t="shared" si="1"/>
        <v>0.10847480467952815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0.59175608513217559</v>
      </c>
      <c r="C58" s="20">
        <f t="shared" si="1"/>
        <v>0.12621305512729702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B3" sqref="B3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-2.4625099999999999E-5</v>
      </c>
      <c r="C2" s="1">
        <v>2.2220509999999999E-7</v>
      </c>
      <c r="D2" s="1">
        <v>2.9777950000000002E-6</v>
      </c>
      <c r="E2" s="1">
        <v>4.578593E-7</v>
      </c>
      <c r="F2" s="1">
        <v>2.4804489999999999E-5</v>
      </c>
      <c r="G2" s="1">
        <v>1.913101E-7</v>
      </c>
      <c r="H2" s="1">
        <v>-0.121416</v>
      </c>
      <c r="I2" s="1">
        <v>7.0816019999999993E-2</v>
      </c>
      <c r="J2" s="2">
        <v>-2.4625099999999999E-5</v>
      </c>
      <c r="K2" s="1">
        <v>0</v>
      </c>
      <c r="L2" s="2">
        <v>2.9777950000000002E-6</v>
      </c>
      <c r="M2" s="1">
        <v>0</v>
      </c>
    </row>
    <row r="3" spans="1:13" x14ac:dyDescent="0.25">
      <c r="A3">
        <v>2</v>
      </c>
      <c r="B3" s="1">
        <v>4.4744179999999998E-4</v>
      </c>
      <c r="C3" s="1">
        <v>8.3040920000000005E-6</v>
      </c>
      <c r="D3" s="1">
        <v>-7.5088130000000006E-5</v>
      </c>
      <c r="E3" s="1">
        <v>2.0786219999999999E-5</v>
      </c>
      <c r="F3" s="1">
        <v>4.5369859999999998E-4</v>
      </c>
      <c r="G3" s="1">
        <v>9.2747669999999994E-6</v>
      </c>
      <c r="H3" s="1">
        <v>-8.0631099999999997E-2</v>
      </c>
      <c r="I3" s="1">
        <v>8.3021979999999995E-2</v>
      </c>
      <c r="J3" s="2">
        <v>4.4744179999999998E-4</v>
      </c>
      <c r="K3" s="1">
        <v>0</v>
      </c>
      <c r="L3" s="2">
        <v>-7.5088130000000006E-5</v>
      </c>
      <c r="M3" s="1">
        <v>0</v>
      </c>
    </row>
    <row r="4" spans="1:13" x14ac:dyDescent="0.25">
      <c r="A4">
        <v>3</v>
      </c>
      <c r="B4" s="1">
        <v>1.069676E-2</v>
      </c>
      <c r="C4" s="1">
        <v>3.6642149999999997E-4</v>
      </c>
      <c r="D4" s="1">
        <v>2.0722119999999999E-4</v>
      </c>
      <c r="E4" s="1">
        <v>1.533078E-3</v>
      </c>
      <c r="F4" s="1">
        <v>1.069877E-2</v>
      </c>
      <c r="G4" s="1">
        <v>3.8496659999999997E-4</v>
      </c>
      <c r="H4" s="1">
        <v>9.7220310000000008E-3</v>
      </c>
      <c r="I4" s="1">
        <v>0.16135330000000001</v>
      </c>
      <c r="J4" s="2">
        <v>1.069676E-2</v>
      </c>
      <c r="K4" s="1">
        <v>0</v>
      </c>
      <c r="L4" s="2">
        <v>2.0722119999999999E-4</v>
      </c>
      <c r="M4" s="1">
        <v>0</v>
      </c>
    </row>
    <row r="5" spans="1:13" x14ac:dyDescent="0.25">
      <c r="A5">
        <v>4</v>
      </c>
      <c r="B5" s="1">
        <v>1.2616809999999999E-2</v>
      </c>
      <c r="C5" s="1">
        <v>3.2383830000000002E-2</v>
      </c>
      <c r="D5" s="1">
        <v>8.9250419999999997E-2</v>
      </c>
      <c r="E5" s="1">
        <v>8.2109290000000001E-2</v>
      </c>
      <c r="F5" s="1">
        <v>9.0137789999999995E-2</v>
      </c>
      <c r="G5" s="1">
        <v>3.8781929999999999E-2</v>
      </c>
      <c r="H5" s="1">
        <v>3.6582999999999997E-2</v>
      </c>
      <c r="I5" s="1">
        <v>0.2910662</v>
      </c>
      <c r="J5" s="2">
        <v>1.2616809999999999E-2</v>
      </c>
      <c r="K5" s="1">
        <v>0</v>
      </c>
      <c r="L5" s="2">
        <v>8.9250419999999997E-2</v>
      </c>
      <c r="M5" s="1">
        <v>0</v>
      </c>
    </row>
    <row r="6" spans="1:13" x14ac:dyDescent="0.25">
      <c r="A6">
        <v>5</v>
      </c>
      <c r="B6" s="1">
        <v>-9.4037819999999994E-2</v>
      </c>
      <c r="C6" s="1">
        <v>2.3263150000000001</v>
      </c>
      <c r="D6" s="1">
        <v>-3.8756689999999998</v>
      </c>
      <c r="E6" s="1">
        <v>4.320754</v>
      </c>
      <c r="F6" s="1">
        <v>3.8768090000000002</v>
      </c>
      <c r="G6" s="1">
        <v>2.1420279999999998</v>
      </c>
      <c r="H6" s="1">
        <v>-5.7461180000000001E-2</v>
      </c>
      <c r="I6" s="1">
        <v>0.24546219999999999</v>
      </c>
      <c r="J6" s="2">
        <v>-9.4037819999999994E-2</v>
      </c>
      <c r="K6" s="1">
        <v>0</v>
      </c>
      <c r="L6" s="2">
        <v>-3.8756689999999998</v>
      </c>
      <c r="M6" s="1">
        <v>0</v>
      </c>
    </row>
    <row r="7" spans="1:13" x14ac:dyDescent="0.25">
      <c r="A7">
        <v>6</v>
      </c>
      <c r="B7" s="1">
        <v>-241.41630000000001</v>
      </c>
      <c r="C7" s="1">
        <v>103.22629999999999</v>
      </c>
      <c r="D7" s="1">
        <v>-196.9529</v>
      </c>
      <c r="E7" s="1">
        <v>222.55539999999999</v>
      </c>
      <c r="F7" s="1">
        <v>311.5643</v>
      </c>
      <c r="G7" s="1">
        <v>103.7895</v>
      </c>
      <c r="H7" s="1">
        <v>4.972654E-2</v>
      </c>
      <c r="I7" s="1">
        <v>0.17607390000000001</v>
      </c>
      <c r="J7" s="2">
        <v>-241.41630000000001</v>
      </c>
      <c r="K7" s="1">
        <v>0</v>
      </c>
      <c r="L7" s="2">
        <v>-196.9529</v>
      </c>
      <c r="M7" s="1">
        <v>0</v>
      </c>
    </row>
    <row r="8" spans="1:13" x14ac:dyDescent="0.25">
      <c r="A8">
        <v>7</v>
      </c>
      <c r="B8" s="1">
        <v>-4527.7169999999996</v>
      </c>
      <c r="C8" s="1">
        <v>8200.375</v>
      </c>
      <c r="D8" s="1">
        <v>-548.29719999999998</v>
      </c>
      <c r="E8" s="1">
        <v>13576.2</v>
      </c>
      <c r="F8" s="1">
        <v>4560.7950000000001</v>
      </c>
      <c r="G8" s="1">
        <v>7709.67</v>
      </c>
      <c r="H8" s="1">
        <v>1.8364789999999999E-2</v>
      </c>
      <c r="I8" s="1">
        <v>0.13985919999999999</v>
      </c>
      <c r="J8" s="2">
        <v>-4527.7169999999996</v>
      </c>
      <c r="K8" s="1">
        <v>0</v>
      </c>
      <c r="L8" s="2">
        <v>-548.29719999999998</v>
      </c>
      <c r="M8" s="1">
        <v>0</v>
      </c>
    </row>
    <row r="9" spans="1:13" x14ac:dyDescent="0.25">
      <c r="A9">
        <v>8</v>
      </c>
      <c r="B9" s="1">
        <v>484840</v>
      </c>
      <c r="C9" s="1">
        <v>406249</v>
      </c>
      <c r="D9" s="1">
        <v>887755.1</v>
      </c>
      <c r="E9" s="1">
        <v>753282.9</v>
      </c>
      <c r="F9" s="1">
        <v>1011523</v>
      </c>
      <c r="G9" s="1">
        <v>417073.7</v>
      </c>
      <c r="H9" s="1">
        <v>3.021366E-2</v>
      </c>
      <c r="I9" s="1">
        <v>0.1341986</v>
      </c>
      <c r="J9" s="2">
        <v>484840</v>
      </c>
      <c r="K9" s="1">
        <v>0</v>
      </c>
      <c r="L9" s="2">
        <v>887755.1</v>
      </c>
      <c r="M9" s="1">
        <v>0</v>
      </c>
    </row>
    <row r="10" spans="1:13" x14ac:dyDescent="0.25">
      <c r="A10">
        <v>9</v>
      </c>
      <c r="B10" s="1">
        <v>-23013890</v>
      </c>
      <c r="C10" s="1">
        <v>22976220</v>
      </c>
      <c r="D10" s="1">
        <v>-31268670</v>
      </c>
      <c r="E10" s="1">
        <v>44454310</v>
      </c>
      <c r="F10" s="1">
        <v>38824850</v>
      </c>
      <c r="G10" s="1">
        <v>20829430</v>
      </c>
      <c r="H10" s="1">
        <v>1.6113329999999999E-2</v>
      </c>
      <c r="I10" s="1">
        <v>0.1192907</v>
      </c>
      <c r="J10" s="2">
        <v>-23013890</v>
      </c>
      <c r="K10" s="1">
        <v>0</v>
      </c>
      <c r="L10" s="2">
        <v>-31268670</v>
      </c>
      <c r="M10" s="1">
        <v>0</v>
      </c>
    </row>
    <row r="11" spans="1:13" x14ac:dyDescent="0.25">
      <c r="A11">
        <v>10</v>
      </c>
      <c r="B11" s="1">
        <v>-2146597000</v>
      </c>
      <c r="C11" s="1">
        <v>1283362000</v>
      </c>
      <c r="D11" s="1">
        <v>-1488948000</v>
      </c>
      <c r="E11" s="1">
        <v>2747113000</v>
      </c>
      <c r="F11" s="1">
        <v>2612441000</v>
      </c>
      <c r="G11" s="1">
        <v>1038954000</v>
      </c>
      <c r="H11" s="1">
        <v>5.1728589999999998E-2</v>
      </c>
      <c r="I11" s="1">
        <v>9.9520209999999998E-2</v>
      </c>
      <c r="J11" s="2">
        <v>-2146597000</v>
      </c>
      <c r="K11" s="1">
        <v>0</v>
      </c>
      <c r="L11" s="2">
        <v>-1488948000</v>
      </c>
      <c r="M11" s="1">
        <v>0</v>
      </c>
    </row>
    <row r="12" spans="1:13" x14ac:dyDescent="0.25">
      <c r="A12">
        <v>11</v>
      </c>
      <c r="B12" s="1">
        <v>136370500000</v>
      </c>
      <c r="C12" s="1">
        <v>101492100000</v>
      </c>
      <c r="D12" s="1">
        <v>131526100000</v>
      </c>
      <c r="E12" s="1">
        <v>148043800000</v>
      </c>
      <c r="F12" s="1">
        <v>189462500000</v>
      </c>
      <c r="G12" s="1">
        <v>79068210000</v>
      </c>
      <c r="H12" s="1">
        <v>2.4237479999999999E-2</v>
      </c>
      <c r="I12" s="1">
        <v>8.1616499999999995E-2</v>
      </c>
      <c r="J12" s="2">
        <v>136370500000</v>
      </c>
      <c r="K12" s="1">
        <v>0</v>
      </c>
      <c r="L12" s="2">
        <v>131526100000</v>
      </c>
      <c r="M12" s="1">
        <v>0</v>
      </c>
    </row>
    <row r="13" spans="1:13" x14ac:dyDescent="0.25">
      <c r="A13">
        <v>12</v>
      </c>
      <c r="B13" s="1">
        <v>-4610879000000</v>
      </c>
      <c r="C13" s="1">
        <v>5624867000000</v>
      </c>
      <c r="D13" s="1">
        <v>19605860000000</v>
      </c>
      <c r="E13" s="1">
        <v>10269020000000</v>
      </c>
      <c r="F13" s="1">
        <v>20140760000000</v>
      </c>
      <c r="G13" s="1">
        <v>5948871000000</v>
      </c>
      <c r="H13" s="1">
        <v>3.457828E-3</v>
      </c>
      <c r="I13" s="1">
        <v>8.8882790000000003E-2</v>
      </c>
      <c r="J13" s="2">
        <v>-4610879000000</v>
      </c>
      <c r="K13" s="1">
        <v>0</v>
      </c>
      <c r="L13" s="2">
        <v>19605860000000</v>
      </c>
      <c r="M13" s="1">
        <v>0</v>
      </c>
    </row>
    <row r="14" spans="1:13" x14ac:dyDescent="0.25">
      <c r="A14">
        <v>13</v>
      </c>
      <c r="B14" s="1">
        <v>96161200000000</v>
      </c>
      <c r="C14" s="1">
        <v>323811300000000</v>
      </c>
      <c r="D14" s="1">
        <v>-123997500000000</v>
      </c>
      <c r="E14" s="1">
        <v>548235300000000</v>
      </c>
      <c r="F14" s="1">
        <v>156915100000000</v>
      </c>
      <c r="G14" s="1">
        <v>328359200000000</v>
      </c>
      <c r="H14" s="1">
        <v>8.1561570000000007E-3</v>
      </c>
      <c r="I14" s="1">
        <v>7.3951459999999997E-2</v>
      </c>
      <c r="J14" s="2">
        <v>96161200000000</v>
      </c>
      <c r="K14" s="1">
        <v>0</v>
      </c>
      <c r="L14" s="2">
        <v>-123997500000000</v>
      </c>
      <c r="M14" s="1">
        <v>0</v>
      </c>
    </row>
    <row r="15" spans="1:13" x14ac:dyDescent="0.25">
      <c r="A15">
        <v>14</v>
      </c>
      <c r="B15" s="1">
        <v>4117502000000000</v>
      </c>
      <c r="C15" s="1">
        <v>2.963017E+16</v>
      </c>
      <c r="D15" s="1">
        <v>-2.971364E+16</v>
      </c>
      <c r="E15" s="1">
        <v>3.973695E+16</v>
      </c>
      <c r="F15" s="1">
        <v>2.999757E+16</v>
      </c>
      <c r="G15" s="1">
        <v>1.527616E+16</v>
      </c>
      <c r="H15" s="1">
        <v>1.7908110000000001E-2</v>
      </c>
      <c r="I15" s="1">
        <v>7.1883790000000003E-2</v>
      </c>
      <c r="J15" s="2">
        <v>4117502000000000</v>
      </c>
      <c r="K15" s="1">
        <v>0</v>
      </c>
      <c r="L15" s="2">
        <v>-2.971364E+16</v>
      </c>
      <c r="M15" s="1">
        <v>0</v>
      </c>
    </row>
    <row r="16" spans="1:13" x14ac:dyDescent="0.25">
      <c r="A16">
        <v>15</v>
      </c>
      <c r="B16" s="1">
        <v>3.896804E+16</v>
      </c>
      <c r="C16" s="1">
        <v>1.39263E+18</v>
      </c>
      <c r="D16" s="1">
        <v>1.605971E+18</v>
      </c>
      <c r="E16" s="1">
        <v>1.99297E+18</v>
      </c>
      <c r="F16" s="1">
        <v>1.606444E+18</v>
      </c>
      <c r="G16" s="1">
        <v>1.167388E+18</v>
      </c>
      <c r="H16" s="1">
        <v>1.9667919999999998E-2</v>
      </c>
      <c r="I16" s="1">
        <v>6.5013559999999998E-2</v>
      </c>
      <c r="J16" s="2">
        <v>3.896804E+16</v>
      </c>
      <c r="K16" s="1">
        <v>0</v>
      </c>
      <c r="L16" s="2">
        <v>1.605971E+18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4.4744179999999998E-4</v>
      </c>
      <c r="B20" s="10">
        <f>C3</f>
        <v>8.3040920000000005E-6</v>
      </c>
      <c r="C20" s="11">
        <f>B2/B3/0.000001</f>
        <v>-55035.314090011263</v>
      </c>
      <c r="D20" s="12">
        <f>C2/B3/0.000001</f>
        <v>496.61229683949961</v>
      </c>
      <c r="E20" s="11">
        <f>D2/B3/0.000001</f>
        <v>6655.1560448755581</v>
      </c>
      <c r="F20" s="11">
        <f>E2/B3/0.000001</f>
        <v>1023.2823576161192</v>
      </c>
      <c r="G20" s="10">
        <f>H3</f>
        <v>-8.0631099999999997E-2</v>
      </c>
      <c r="H20" s="10">
        <f>I3</f>
        <v>8.3021979999999995E-2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-0.50629428979743163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0.10222373403620771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-0.44599914178465538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9.404388825659489E-2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-0.40012784600779067</v>
      </c>
      <c r="C25" s="20">
        <f t="shared" si="1"/>
        <v>7.9999139593508725E-2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-0.36327555055414618</v>
      </c>
      <c r="C26" s="20">
        <f t="shared" si="1"/>
        <v>6.5404859116388284E-2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-0.33189566149316879</v>
      </c>
      <c r="C27" s="20">
        <f t="shared" si="1"/>
        <v>5.236683844606102E-2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-0.30373515133133627</v>
      </c>
      <c r="C28" s="20">
        <f t="shared" si="1"/>
        <v>4.1434565132675051E-2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-0.2774153742445265</v>
      </c>
      <c r="C29" s="20">
        <f t="shared" si="1"/>
        <v>3.2496701526926984E-2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-0.2521282562081546</v>
      </c>
      <c r="C30" s="20">
        <f t="shared" si="1"/>
        <v>2.5230467517479562E-2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-0.22742225756047812</v>
      </c>
      <c r="C31" s="20">
        <f t="shared" si="1"/>
        <v>1.9302603826981995E-2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-0.20305668303172547</v>
      </c>
      <c r="C32" s="20">
        <f t="shared" si="1"/>
        <v>1.444177962136445E-2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-0.17890671763284571</v>
      </c>
      <c r="C33" s="20">
        <f t="shared" si="1"/>
        <v>1.0451113040490605E-2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-0.15490497882558285</v>
      </c>
      <c r="C34" s="20">
        <f t="shared" si="1"/>
        <v>7.1972930611847738E-3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-0.13100838574300114</v>
      </c>
      <c r="C35" s="20">
        <f t="shared" si="1"/>
        <v>4.5937242876371914E-3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-0.10718175268550038</v>
      </c>
      <c r="C36" s="20">
        <f t="shared" si="1"/>
        <v>2.5846960473534879E-3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-8.3391723351076225E-2</v>
      </c>
      <c r="C37" s="20">
        <f t="shared" si="1"/>
        <v>1.1325274214751737E-3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-5.9606490021492486E-2</v>
      </c>
      <c r="C38" s="20">
        <f t="shared" si="1"/>
        <v>2.0765328880569813E-4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-3.5798212711042769E-2</v>
      </c>
      <c r="C39" s="20">
        <f t="shared" si="1"/>
        <v>-2.1884472637266836E-4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-1.1946199443264487E-2</v>
      </c>
      <c r="C40" s="20">
        <f t="shared" si="1"/>
        <v>-1.8063983894118908E-4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1.1960230861645845E-2</v>
      </c>
      <c r="C41" s="20">
        <f t="shared" si="1"/>
        <v>2.8031898965588621E-4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3.5919663678885543E-2</v>
      </c>
      <c r="C42" s="20">
        <f t="shared" si="1"/>
        <v>1.1120399799041708E-3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5.9917322796827759E-2</v>
      </c>
      <c r="C43" s="20">
        <f t="shared" si="1"/>
        <v>2.252270226070858E-3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8.3924396234917223E-2</v>
      </c>
      <c r="C44" s="20">
        <f t="shared" si="1"/>
        <v>3.6295046856470829E-3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0.10789757431552661</v>
      </c>
      <c r="C45" s="20">
        <f t="shared" si="1"/>
        <v>5.1648886298457791E-3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0.13177835008094371</v>
      </c>
      <c r="C46" s="20">
        <f t="shared" si="1"/>
        <v>6.7749127367231644E-3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0.15549162845465536</v>
      </c>
      <c r="C47" s="20">
        <f t="shared" si="1"/>
        <v>8.3753983293937753E-3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0.17894325456528004</v>
      </c>
      <c r="C48" s="20">
        <f t="shared" si="1"/>
        <v>9.8883340628089685E-3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0.20201622961379534</v>
      </c>
      <c r="C49" s="20">
        <f t="shared" si="1"/>
        <v>1.1254759150387084E-2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0.22456569149947378</v>
      </c>
      <c r="C50" s="20">
        <f t="shared" si="1"/>
        <v>1.24592472488103E-2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0.24641329170233833</v>
      </c>
      <c r="C51" s="20">
        <f t="shared" si="1"/>
        <v>1.357490415005279E-2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0.2673425392615737</v>
      </c>
      <c r="C52" s="20">
        <f t="shared" si="1"/>
        <v>1.4842636857471248E-2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0.28709819967122019</v>
      </c>
      <c r="C53" s="20">
        <f t="shared" si="1"/>
        <v>1.680559093650295E-2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0.30539518516238945</v>
      </c>
      <c r="C54" s="20">
        <f t="shared" si="1"/>
        <v>2.0530356631808602E-2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0.32194587764326971</v>
      </c>
      <c r="C55" s="20">
        <f t="shared" si="1"/>
        <v>2.7962699613156877E-2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0.33651989103468072</v>
      </c>
      <c r="C56" s="20">
        <f t="shared" si="1"/>
        <v>4.2489865430993944E-2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0.34905740050475859</v>
      </c>
      <c r="C57" s="20">
        <f t="shared" si="1"/>
        <v>6.9817625373584491E-2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0.35986693757540833</v>
      </c>
      <c r="C58" s="20">
        <f t="shared" si="1"/>
        <v>0.11932308964793019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A2" sqref="A2:M16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-2.482092E-5</v>
      </c>
      <c r="C2" s="1">
        <v>1.059932E-7</v>
      </c>
      <c r="D2" s="1">
        <v>2.9284429999999999E-6</v>
      </c>
      <c r="E2" s="1">
        <v>2.9778730000000002E-7</v>
      </c>
      <c r="F2" s="1">
        <v>2.4993070000000001E-5</v>
      </c>
      <c r="G2" s="1">
        <v>1.041303E-7</v>
      </c>
      <c r="H2" s="1">
        <v>-0.11734849999999999</v>
      </c>
      <c r="I2" s="1">
        <v>4.470611E-2</v>
      </c>
      <c r="J2" s="2">
        <v>-2.482092E-5</v>
      </c>
      <c r="K2" s="1">
        <v>0</v>
      </c>
      <c r="L2" s="2">
        <v>2.9284429999999999E-6</v>
      </c>
      <c r="M2" s="1">
        <v>0</v>
      </c>
    </row>
    <row r="3" spans="1:13" x14ac:dyDescent="0.25">
      <c r="A3">
        <v>2</v>
      </c>
      <c r="B3" s="1">
        <v>4.6068889999999999E-4</v>
      </c>
      <c r="C3" s="1">
        <v>5.9978929999999998E-6</v>
      </c>
      <c r="D3" s="1">
        <v>-6.5016289999999995E-5</v>
      </c>
      <c r="E3" s="1">
        <v>1.6011819999999999E-5</v>
      </c>
      <c r="F3" s="1">
        <v>4.6525409999999999E-4</v>
      </c>
      <c r="G3" s="1">
        <v>6.5539589999999998E-6</v>
      </c>
      <c r="H3" s="1">
        <v>-6.8597119999999998E-2</v>
      </c>
      <c r="I3" s="1">
        <v>6.3332600000000003E-2</v>
      </c>
      <c r="J3" s="2">
        <v>4.6068889999999999E-4</v>
      </c>
      <c r="K3" s="1">
        <v>0</v>
      </c>
      <c r="L3" s="2">
        <v>-6.5016289999999995E-5</v>
      </c>
      <c r="M3" s="1">
        <v>0</v>
      </c>
    </row>
    <row r="4" spans="1:13" x14ac:dyDescent="0.25">
      <c r="A4">
        <v>3</v>
      </c>
      <c r="B4" s="1">
        <v>1.143625E-2</v>
      </c>
      <c r="C4" s="1">
        <v>2.8258560000000001E-4</v>
      </c>
      <c r="D4" s="1">
        <v>-7.742367E-4</v>
      </c>
      <c r="E4" s="1">
        <v>1.0342719999999999E-3</v>
      </c>
      <c r="F4" s="1">
        <v>1.1462429999999999E-2</v>
      </c>
      <c r="G4" s="1">
        <v>3.0255700000000001E-4</v>
      </c>
      <c r="H4" s="1">
        <v>-2.4542290000000001E-2</v>
      </c>
      <c r="I4" s="1">
        <v>0.106754</v>
      </c>
      <c r="J4" s="2">
        <v>1.143625E-2</v>
      </c>
      <c r="K4" s="1">
        <v>0</v>
      </c>
      <c r="L4" s="2">
        <v>-7.742367E-4</v>
      </c>
      <c r="M4" s="1">
        <v>0</v>
      </c>
    </row>
    <row r="5" spans="1:13" x14ac:dyDescent="0.25">
      <c r="A5">
        <v>4</v>
      </c>
      <c r="B5" s="1">
        <v>-3.4631679999999998E-2</v>
      </c>
      <c r="C5" s="1">
        <v>3.7074639999999999E-2</v>
      </c>
      <c r="D5" s="1">
        <v>4.698401E-2</v>
      </c>
      <c r="E5" s="1">
        <v>4.7601459999999998E-2</v>
      </c>
      <c r="F5" s="1">
        <v>5.8368240000000002E-2</v>
      </c>
      <c r="G5" s="1">
        <v>2.912209E-2</v>
      </c>
      <c r="H5" s="1">
        <v>-2.098032E-2</v>
      </c>
      <c r="I5" s="1">
        <v>0.27737820000000002</v>
      </c>
      <c r="J5" s="2">
        <v>-3.4631679999999998E-2</v>
      </c>
      <c r="K5" s="1">
        <v>0</v>
      </c>
      <c r="L5" s="2">
        <v>4.698401E-2</v>
      </c>
      <c r="M5" s="1">
        <v>0</v>
      </c>
    </row>
    <row r="6" spans="1:13" x14ac:dyDescent="0.25">
      <c r="A6">
        <v>5</v>
      </c>
      <c r="B6" s="1">
        <v>-2.346365</v>
      </c>
      <c r="C6" s="1">
        <v>1.744294</v>
      </c>
      <c r="D6" s="1">
        <v>-1.2506949999999999</v>
      </c>
      <c r="E6" s="1">
        <v>3.0778669999999999</v>
      </c>
      <c r="F6" s="1">
        <v>2.658884</v>
      </c>
      <c r="G6" s="1">
        <v>1.6327970000000001</v>
      </c>
      <c r="H6" s="1">
        <v>7.2362789999999996E-2</v>
      </c>
      <c r="I6" s="1">
        <v>0.1959148</v>
      </c>
      <c r="J6" s="2">
        <v>-2.346365</v>
      </c>
      <c r="K6" s="1">
        <v>0</v>
      </c>
      <c r="L6" s="2">
        <v>-1.2506949999999999</v>
      </c>
      <c r="M6" s="1">
        <v>0</v>
      </c>
    </row>
    <row r="7" spans="1:13" x14ac:dyDescent="0.25">
      <c r="A7">
        <v>6</v>
      </c>
      <c r="B7" s="1">
        <v>26.4</v>
      </c>
      <c r="C7" s="1">
        <v>113.56310000000001</v>
      </c>
      <c r="D7" s="1">
        <v>-291.12270000000001</v>
      </c>
      <c r="E7" s="1">
        <v>191.3312</v>
      </c>
      <c r="F7" s="1">
        <v>292.31729999999999</v>
      </c>
      <c r="G7" s="1">
        <v>130.30420000000001</v>
      </c>
      <c r="H7" s="1">
        <v>-4.8435270000000002E-2</v>
      </c>
      <c r="I7" s="1">
        <v>0.17218330000000001</v>
      </c>
      <c r="J7" s="2">
        <v>26.4</v>
      </c>
      <c r="K7" s="1">
        <v>0</v>
      </c>
      <c r="L7" s="2">
        <v>-291.12270000000001</v>
      </c>
      <c r="M7" s="1">
        <v>0</v>
      </c>
    </row>
    <row r="8" spans="1:13" x14ac:dyDescent="0.25">
      <c r="A8">
        <v>7</v>
      </c>
      <c r="B8" s="1">
        <v>-6983.8180000000002</v>
      </c>
      <c r="C8" s="1">
        <v>8870.2109999999993</v>
      </c>
      <c r="D8" s="1">
        <v>2968.7550000000001</v>
      </c>
      <c r="E8" s="1">
        <v>10178.33</v>
      </c>
      <c r="F8" s="1">
        <v>7588.625</v>
      </c>
      <c r="G8" s="1">
        <v>5170.1109999999999</v>
      </c>
      <c r="H8" s="1">
        <v>0.1054954</v>
      </c>
      <c r="I8" s="1">
        <v>8.2033780000000001E-2</v>
      </c>
      <c r="J8" s="2">
        <v>-6983.8180000000002</v>
      </c>
      <c r="K8" s="1">
        <v>0</v>
      </c>
      <c r="L8" s="2">
        <v>2968.7550000000001</v>
      </c>
      <c r="M8" s="1">
        <v>0</v>
      </c>
    </row>
    <row r="9" spans="1:13" x14ac:dyDescent="0.25">
      <c r="A9">
        <v>8</v>
      </c>
      <c r="B9" s="1">
        <v>267591.59999999998</v>
      </c>
      <c r="C9" s="1">
        <v>576149.19999999995</v>
      </c>
      <c r="D9" s="1">
        <v>72195.350000000006</v>
      </c>
      <c r="E9" s="1">
        <v>585642.19999999995</v>
      </c>
      <c r="F9" s="1">
        <v>277159.59999999998</v>
      </c>
      <c r="G9" s="1">
        <v>313507.5</v>
      </c>
      <c r="H9" s="1">
        <v>-8.5688529999999995E-3</v>
      </c>
      <c r="I9" s="1">
        <v>9.9183389999999996E-2</v>
      </c>
      <c r="J9" s="2">
        <v>267591.59999999998</v>
      </c>
      <c r="K9" s="1">
        <v>0</v>
      </c>
      <c r="L9" s="2">
        <v>72195.350000000006</v>
      </c>
      <c r="M9" s="1">
        <v>0</v>
      </c>
    </row>
    <row r="10" spans="1:13" x14ac:dyDescent="0.25">
      <c r="A10">
        <v>9</v>
      </c>
      <c r="B10" s="1">
        <v>-42841000</v>
      </c>
      <c r="C10" s="1">
        <v>31494810</v>
      </c>
      <c r="D10" s="1">
        <v>-25001830</v>
      </c>
      <c r="E10" s="1">
        <v>44778240</v>
      </c>
      <c r="F10" s="1">
        <v>49602850</v>
      </c>
      <c r="G10" s="1">
        <v>26624070</v>
      </c>
      <c r="H10" s="1">
        <v>1.013934E-2</v>
      </c>
      <c r="I10" s="1">
        <v>0.1021857</v>
      </c>
      <c r="J10" s="2">
        <v>-42841000</v>
      </c>
      <c r="K10" s="1">
        <v>0</v>
      </c>
      <c r="L10" s="2">
        <v>-25001830</v>
      </c>
      <c r="M10" s="1">
        <v>0</v>
      </c>
    </row>
    <row r="11" spans="1:13" x14ac:dyDescent="0.25">
      <c r="A11">
        <v>10</v>
      </c>
      <c r="B11" s="1">
        <v>781218000</v>
      </c>
      <c r="C11" s="1">
        <v>1738780000</v>
      </c>
      <c r="D11" s="1">
        <v>-1901969000</v>
      </c>
      <c r="E11" s="1">
        <v>2252265000</v>
      </c>
      <c r="F11" s="1">
        <v>2056159000</v>
      </c>
      <c r="G11" s="1">
        <v>1284882000</v>
      </c>
      <c r="H11" s="1">
        <v>2.4988079999999999E-2</v>
      </c>
      <c r="I11" s="1">
        <v>8.0665029999999999E-2</v>
      </c>
      <c r="J11" s="2">
        <v>781218000</v>
      </c>
      <c r="K11" s="1">
        <v>0</v>
      </c>
      <c r="L11" s="2">
        <v>-1901969000</v>
      </c>
      <c r="M11" s="1">
        <v>0</v>
      </c>
    </row>
    <row r="12" spans="1:13" x14ac:dyDescent="0.25">
      <c r="A12">
        <v>11</v>
      </c>
      <c r="B12" s="1">
        <v>-23635550000</v>
      </c>
      <c r="C12" s="1">
        <v>129756600000</v>
      </c>
      <c r="D12" s="1">
        <v>-94077950000</v>
      </c>
      <c r="E12" s="1">
        <v>137059200000</v>
      </c>
      <c r="F12" s="1">
        <v>97001550000</v>
      </c>
      <c r="G12" s="1">
        <v>75683880000</v>
      </c>
      <c r="H12" s="1">
        <v>1.187001E-2</v>
      </c>
      <c r="I12" s="1">
        <v>8.9065980000000003E-2</v>
      </c>
      <c r="J12" s="2">
        <v>-23635550000</v>
      </c>
      <c r="K12" s="1">
        <v>0</v>
      </c>
      <c r="L12" s="2">
        <v>-94077950000</v>
      </c>
      <c r="M12" s="1">
        <v>0</v>
      </c>
    </row>
    <row r="13" spans="1:13" x14ac:dyDescent="0.25">
      <c r="A13">
        <v>12</v>
      </c>
      <c r="B13" s="1">
        <v>7807287000000</v>
      </c>
      <c r="C13" s="1">
        <v>6713568000000</v>
      </c>
      <c r="D13" s="1">
        <v>-5061024000000</v>
      </c>
      <c r="E13" s="1">
        <v>8157857000000</v>
      </c>
      <c r="F13" s="1">
        <v>9304177000000</v>
      </c>
      <c r="G13" s="1">
        <v>5384751000000</v>
      </c>
      <c r="H13" s="1">
        <v>-1.40389E-2</v>
      </c>
      <c r="I13" s="1">
        <v>6.7691490000000007E-2</v>
      </c>
      <c r="J13" s="2">
        <v>7807287000000</v>
      </c>
      <c r="K13" s="1">
        <v>0</v>
      </c>
      <c r="L13" s="2">
        <v>-5061024000000</v>
      </c>
      <c r="M13" s="1">
        <v>0</v>
      </c>
    </row>
    <row r="14" spans="1:13" x14ac:dyDescent="0.25">
      <c r="A14">
        <v>13</v>
      </c>
      <c r="B14" s="1">
        <v>-176957200000000</v>
      </c>
      <c r="C14" s="1">
        <v>389646000000000</v>
      </c>
      <c r="D14" s="1">
        <v>-272077700000000</v>
      </c>
      <c r="E14" s="1">
        <v>525436900000000</v>
      </c>
      <c r="F14" s="1">
        <v>324561500000000</v>
      </c>
      <c r="G14" s="1">
        <v>253118700000000</v>
      </c>
      <c r="H14" s="1">
        <v>-4.8840250000000002E-2</v>
      </c>
      <c r="I14" s="1">
        <v>6.7127969999999995E-2</v>
      </c>
      <c r="J14" s="2">
        <v>-176957200000000</v>
      </c>
      <c r="K14" s="1">
        <v>0</v>
      </c>
      <c r="L14" s="2">
        <v>-272077700000000</v>
      </c>
      <c r="M14" s="1">
        <v>0</v>
      </c>
    </row>
    <row r="15" spans="1:13" x14ac:dyDescent="0.25">
      <c r="A15">
        <v>14</v>
      </c>
      <c r="B15" s="1">
        <v>5.665208E+16</v>
      </c>
      <c r="C15" s="1">
        <v>3.319782E+16</v>
      </c>
      <c r="D15" s="1">
        <v>2.814802E+16</v>
      </c>
      <c r="E15" s="1">
        <v>2.873915E+16</v>
      </c>
      <c r="F15" s="1">
        <v>6.325954E+16</v>
      </c>
      <c r="G15" s="1">
        <v>2.444294E+16</v>
      </c>
      <c r="H15" s="1">
        <v>7.2059159999999997E-3</v>
      </c>
      <c r="I15" s="1">
        <v>4.8944210000000002E-2</v>
      </c>
      <c r="J15" s="2">
        <v>5.665208E+16</v>
      </c>
      <c r="K15" s="1">
        <v>0</v>
      </c>
      <c r="L15" s="2">
        <v>2.814802E+16</v>
      </c>
      <c r="M15" s="1">
        <v>0</v>
      </c>
    </row>
    <row r="16" spans="1:13" x14ac:dyDescent="0.25">
      <c r="A16">
        <v>15</v>
      </c>
      <c r="B16" s="1">
        <v>-2.78926E+16</v>
      </c>
      <c r="C16" s="1">
        <v>1.039497E+18</v>
      </c>
      <c r="D16" s="1">
        <v>-2.449326E+18</v>
      </c>
      <c r="E16" s="1">
        <v>1.608046E+18</v>
      </c>
      <c r="F16" s="1">
        <v>2.449485E+18</v>
      </c>
      <c r="G16" s="1">
        <v>1.052419E+18</v>
      </c>
      <c r="H16" s="1">
        <v>2.8699160000000001E-2</v>
      </c>
      <c r="I16" s="1">
        <v>6.2488299999999997E-2</v>
      </c>
      <c r="J16" s="2">
        <v>-2.78926E+16</v>
      </c>
      <c r="K16" s="1">
        <v>0</v>
      </c>
      <c r="L16" s="2">
        <v>-2.449326E+18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4.6068889999999999E-4</v>
      </c>
      <c r="B20" s="10">
        <f>C3</f>
        <v>5.9978929999999998E-6</v>
      </c>
      <c r="C20" s="11">
        <f>B2/B3/0.000001</f>
        <v>-53877.833826688686</v>
      </c>
      <c r="D20" s="12">
        <f>C2/B3/0.000001</f>
        <v>230.07543702485563</v>
      </c>
      <c r="E20" s="11">
        <f>D2/B3/0.000001</f>
        <v>6356.6606445260568</v>
      </c>
      <c r="F20" s="11">
        <f>E2/B3/0.000001</f>
        <v>646.39564790903376</v>
      </c>
      <c r="G20" s="10">
        <f>H3</f>
        <v>-6.8597119999999998E-2</v>
      </c>
      <c r="H20" s="10">
        <f>I3</f>
        <v>6.3332600000000003E-2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-0.14756384795559974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0.1576638204255297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-0.24244094747800679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8.877864213787115E-2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-0.28849921561769515</v>
      </c>
      <c r="C25" s="20">
        <f t="shared" si="1"/>
        <v>5.5180613422421379E-2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-0.30533227849786471</v>
      </c>
      <c r="C26" s="20">
        <f t="shared" si="1"/>
        <v>3.9453751138337129E-2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-0.30485858381033465</v>
      </c>
      <c r="C27" s="20">
        <f t="shared" si="1"/>
        <v>3.220931650596242E-2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-0.29420685464723678</v>
      </c>
      <c r="C28" s="20">
        <f t="shared" si="1"/>
        <v>2.8617759302040673E-2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-0.27758059974544913</v>
      </c>
      <c r="C29" s="20">
        <f t="shared" si="1"/>
        <v>2.634087855644365E-2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-0.25743430360770203</v>
      </c>
      <c r="C30" s="20">
        <f t="shared" si="1"/>
        <v>2.4342058252376897E-2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-0.23519684568602542</v>
      </c>
      <c r="C31" s="20">
        <f t="shared" si="1"/>
        <v>2.2229051798858982E-2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-0.21170505946329735</v>
      </c>
      <c r="C32" s="20">
        <f t="shared" si="1"/>
        <v>1.9907538378100043E-2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-0.18745713558013727</v>
      </c>
      <c r="C33" s="20">
        <f t="shared" si="1"/>
        <v>1.7408060592828498E-2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-0.16275754335938655</v>
      </c>
      <c r="C34" s="20">
        <f t="shared" si="1"/>
        <v>1.4804705419390116E-2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-0.13779872367052712</v>
      </c>
      <c r="C35" s="20">
        <f t="shared" si="1"/>
        <v>1.2179374926327799E-2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-0.11270704793982303</v>
      </c>
      <c r="C36" s="20">
        <f t="shared" si="1"/>
        <v>9.6070883947762756E-3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-8.7569059047957948E-2</v>
      </c>
      <c r="C37" s="20">
        <f t="shared" si="1"/>
        <v>7.1501992438344469E-3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-6.2446924466997393E-2</v>
      </c>
      <c r="C38" s="20">
        <f t="shared" si="1"/>
        <v>4.8561020823771868E-3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-3.7387891944736476E-2</v>
      </c>
      <c r="C39" s="20">
        <f t="shared" si="1"/>
        <v>2.7562961026626259E-3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-1.2430270735005107E-2</v>
      </c>
      <c r="C40" s="20">
        <f t="shared" si="1"/>
        <v>8.6609944964764611E-4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1.2392691076299424E-2</v>
      </c>
      <c r="C41" s="20">
        <f t="shared" si="1"/>
        <v>-8.1518522769932983E-4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3.7050203923666127E-2</v>
      </c>
      <c r="C42" s="20">
        <f t="shared" si="1"/>
        <v>-2.3037521531651395E-3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6.1512019588053829E-2</v>
      </c>
      <c r="C43" s="20">
        <f t="shared" si="1"/>
        <v>-3.630577616357687E-3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8.5746724763857501E-2</v>
      </c>
      <c r="C44" s="20">
        <f t="shared" si="1"/>
        <v>-4.840805179421274E-3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0.10971986071357594</v>
      </c>
      <c r="C45" s="20">
        <f t="shared" si="1"/>
        <v>-5.9937515729139969E-3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0.13339163569487719</v>
      </c>
      <c r="C46" s="20">
        <f t="shared" si="1"/>
        <v>-7.1644069900281653E-3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0.15671433830192791</v>
      </c>
      <c r="C47" s="20">
        <f t="shared" si="1"/>
        <v>-8.4478544989690756E-3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0.17963032184891878</v>
      </c>
      <c r="C48" s="20">
        <f t="shared" si="1"/>
        <v>-9.9688981308525808E-3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0.20207300235840694</v>
      </c>
      <c r="C49" s="20">
        <f t="shared" si="1"/>
        <v>-1.1900583643816322E-2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0.22397630261474652</v>
      </c>
      <c r="C50" s="20">
        <f t="shared" si="1"/>
        <v>-1.4497622328375788E-2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0.24530326341987443</v>
      </c>
      <c r="C51" s="20">
        <f t="shared" si="1"/>
        <v>-1.81546950702863E-2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0.26611334309397044</v>
      </c>
      <c r="C52" s="20">
        <f t="shared" si="1"/>
        <v>-2.3506388863166552E-2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0.28670183743182975</v>
      </c>
      <c r="C53" s="20">
        <f t="shared" si="1"/>
        <v>-3.1596913701991206E-2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0.30786591845436062</v>
      </c>
      <c r="C54" s="20">
        <f t="shared" si="1"/>
        <v>-4.4166440963780952E-2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0.33138255444231413</v>
      </c>
      <c r="C55" s="20">
        <f t="shared" si="1"/>
        <v>-6.4130687844481685E-2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0.36082713364918695</v>
      </c>
      <c r="C56" s="20">
        <f t="shared" si="1"/>
        <v>-9.6376440448859707E-2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0.40292167713462684</v>
      </c>
      <c r="C57" s="20">
        <f t="shared" si="1"/>
        <v>-0.1490649747836707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0.46968246390888313</v>
      </c>
      <c r="C58" s="20">
        <f t="shared" si="1"/>
        <v>-0.23573678548950516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10" workbookViewId="0">
      <selection activeCell="A2" sqref="A2:M16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-2.4611249999999999E-5</v>
      </c>
      <c r="C2" s="1">
        <v>9.6416390000000006E-8</v>
      </c>
      <c r="D2" s="1">
        <v>3.0136039999999999E-6</v>
      </c>
      <c r="E2" s="1">
        <v>4.0480319999999999E-7</v>
      </c>
      <c r="F2" s="1">
        <v>2.479506E-5</v>
      </c>
      <c r="G2" s="1">
        <v>1.042824E-7</v>
      </c>
      <c r="H2" s="1">
        <v>-0.12146899999999999</v>
      </c>
      <c r="I2" s="1">
        <v>6.0766680000000003E-2</v>
      </c>
      <c r="J2" s="2">
        <v>-2.4611249999999999E-5</v>
      </c>
      <c r="K2" s="1">
        <v>0</v>
      </c>
      <c r="L2" s="2">
        <v>3.0136039999999999E-6</v>
      </c>
      <c r="M2" s="1">
        <v>0</v>
      </c>
    </row>
    <row r="3" spans="1:13" x14ac:dyDescent="0.25">
      <c r="A3">
        <v>2</v>
      </c>
      <c r="B3" s="1">
        <v>4.5195439999999999E-4</v>
      </c>
      <c r="C3" s="1">
        <v>5.5810240000000003E-6</v>
      </c>
      <c r="D3" s="1">
        <v>-6.6213080000000003E-5</v>
      </c>
      <c r="E3" s="1">
        <v>2.2473519999999999E-5</v>
      </c>
      <c r="F3" s="1">
        <v>4.5677880000000003E-4</v>
      </c>
      <c r="G3" s="1">
        <v>7.5544229999999996E-6</v>
      </c>
      <c r="H3" s="1">
        <v>-6.9958699999999999E-2</v>
      </c>
      <c r="I3" s="1">
        <v>8.7381319999999998E-2</v>
      </c>
      <c r="J3" s="2">
        <v>4.5195439999999999E-4</v>
      </c>
      <c r="K3" s="1">
        <v>0</v>
      </c>
      <c r="L3" s="2">
        <v>-6.6213080000000003E-5</v>
      </c>
      <c r="M3" s="1">
        <v>0</v>
      </c>
    </row>
    <row r="4" spans="1:13" x14ac:dyDescent="0.25">
      <c r="A4">
        <v>3</v>
      </c>
      <c r="B4" s="1">
        <v>1.096422E-2</v>
      </c>
      <c r="C4" s="1">
        <v>2.0795270000000001E-4</v>
      </c>
      <c r="D4" s="1">
        <v>2.43961E-4</v>
      </c>
      <c r="E4" s="1">
        <v>1.274886E-3</v>
      </c>
      <c r="F4" s="1">
        <v>1.096693E-2</v>
      </c>
      <c r="G4" s="1">
        <v>3.6783269999999998E-4</v>
      </c>
      <c r="H4" s="1">
        <v>9.7815950000000006E-3</v>
      </c>
      <c r="I4" s="1">
        <v>0.127715</v>
      </c>
      <c r="J4" s="2">
        <v>1.096422E-2</v>
      </c>
      <c r="K4" s="1">
        <v>0</v>
      </c>
      <c r="L4" s="2">
        <v>2.43961E-4</v>
      </c>
      <c r="M4" s="1">
        <v>0</v>
      </c>
    </row>
    <row r="5" spans="1:13" x14ac:dyDescent="0.25">
      <c r="A5">
        <v>4</v>
      </c>
      <c r="B5" s="1">
        <v>-4.2722990000000002E-2</v>
      </c>
      <c r="C5" s="1">
        <v>2.1051730000000001E-2</v>
      </c>
      <c r="D5" s="1">
        <v>5.0706090000000002E-2</v>
      </c>
      <c r="E5" s="1">
        <v>7.1255739999999998E-2</v>
      </c>
      <c r="F5" s="1">
        <v>6.6305069999999994E-2</v>
      </c>
      <c r="G5" s="1">
        <v>3.3881399999999999E-2</v>
      </c>
      <c r="H5" s="1">
        <v>4.0694550000000003E-2</v>
      </c>
      <c r="I5" s="1">
        <v>0.33701940000000002</v>
      </c>
      <c r="J5" s="2">
        <v>-4.2722990000000002E-2</v>
      </c>
      <c r="K5" s="1">
        <v>0</v>
      </c>
      <c r="L5" s="2">
        <v>5.0706090000000002E-2</v>
      </c>
      <c r="M5" s="1">
        <v>0</v>
      </c>
    </row>
    <row r="6" spans="1:13" x14ac:dyDescent="0.25">
      <c r="A6">
        <v>5</v>
      </c>
      <c r="B6" s="1">
        <v>-0.27230480000000001</v>
      </c>
      <c r="C6" s="1">
        <v>1.1752910000000001</v>
      </c>
      <c r="D6" s="1">
        <v>1.1786639999999999</v>
      </c>
      <c r="E6" s="1">
        <v>4.3749079999999996</v>
      </c>
      <c r="F6" s="1">
        <v>1.209711</v>
      </c>
      <c r="G6" s="1">
        <v>2.2936139999999998</v>
      </c>
      <c r="H6" s="1">
        <v>6.055164E-3</v>
      </c>
      <c r="I6" s="1">
        <v>0.24875369999999999</v>
      </c>
      <c r="J6" s="2">
        <v>-0.27230480000000001</v>
      </c>
      <c r="K6" s="1">
        <v>0</v>
      </c>
      <c r="L6" s="2">
        <v>1.1786639999999999</v>
      </c>
      <c r="M6" s="1">
        <v>0</v>
      </c>
    </row>
    <row r="7" spans="1:13" x14ac:dyDescent="0.25">
      <c r="A7">
        <v>6</v>
      </c>
      <c r="B7" s="1">
        <v>-1.881605</v>
      </c>
      <c r="C7" s="1">
        <v>134.07400000000001</v>
      </c>
      <c r="D7" s="1">
        <v>-31.266179999999999</v>
      </c>
      <c r="E7" s="1">
        <v>202.553</v>
      </c>
      <c r="F7" s="1">
        <v>31.322749999999999</v>
      </c>
      <c r="G7" s="1">
        <v>98.660759999999996</v>
      </c>
      <c r="H7" s="1">
        <v>-4.68364E-2</v>
      </c>
      <c r="I7" s="1">
        <v>0.1551283</v>
      </c>
      <c r="J7" s="2">
        <v>-1.881605</v>
      </c>
      <c r="K7" s="1">
        <v>0</v>
      </c>
      <c r="L7" s="2">
        <v>-31.266179999999999</v>
      </c>
      <c r="M7" s="1">
        <v>0</v>
      </c>
    </row>
    <row r="8" spans="1:13" x14ac:dyDescent="0.25">
      <c r="A8">
        <v>7</v>
      </c>
      <c r="B8" s="1">
        <v>44.323619999999998</v>
      </c>
      <c r="C8" s="1">
        <v>6335.4459999999999</v>
      </c>
      <c r="D8" s="1">
        <v>600.56050000000005</v>
      </c>
      <c r="E8" s="1">
        <v>11085.03</v>
      </c>
      <c r="F8" s="1">
        <v>602.19389999999999</v>
      </c>
      <c r="G8" s="1">
        <v>5525.4750000000004</v>
      </c>
      <c r="H8" s="1">
        <v>-4.8002069999999999E-3</v>
      </c>
      <c r="I8" s="1">
        <v>0.14573220000000001</v>
      </c>
      <c r="J8" s="2">
        <v>44.323619999999998</v>
      </c>
      <c r="K8" s="1">
        <v>0</v>
      </c>
      <c r="L8" s="2">
        <v>600.56050000000005</v>
      </c>
      <c r="M8" s="1">
        <v>0</v>
      </c>
    </row>
    <row r="9" spans="1:13" x14ac:dyDescent="0.25">
      <c r="A9">
        <v>8</v>
      </c>
      <c r="B9" s="1">
        <v>111186.3</v>
      </c>
      <c r="C9" s="1">
        <v>338776.1</v>
      </c>
      <c r="D9" s="1">
        <v>-422277</v>
      </c>
      <c r="E9" s="1">
        <v>699075.5</v>
      </c>
      <c r="F9" s="1">
        <v>436669.5</v>
      </c>
      <c r="G9" s="1">
        <v>308752.59999999998</v>
      </c>
      <c r="H9" s="1">
        <v>1.633219E-2</v>
      </c>
      <c r="I9" s="1">
        <v>0.14605370000000001</v>
      </c>
      <c r="J9" s="2">
        <v>111186.3</v>
      </c>
      <c r="K9" s="1">
        <v>0</v>
      </c>
      <c r="L9" s="2">
        <v>-422277</v>
      </c>
      <c r="M9" s="1">
        <v>0</v>
      </c>
    </row>
    <row r="10" spans="1:13" x14ac:dyDescent="0.25">
      <c r="A10">
        <v>9</v>
      </c>
      <c r="B10" s="1">
        <v>-16012630</v>
      </c>
      <c r="C10" s="1">
        <v>41048300</v>
      </c>
      <c r="D10" s="1">
        <v>20939510</v>
      </c>
      <c r="E10" s="1">
        <v>58342730</v>
      </c>
      <c r="F10" s="1">
        <v>26360340</v>
      </c>
      <c r="G10" s="1">
        <v>30174570</v>
      </c>
      <c r="H10" s="1">
        <v>-5.1966790000000001E-3</v>
      </c>
      <c r="I10" s="1">
        <v>0.111746</v>
      </c>
      <c r="J10" s="2">
        <v>-16012630</v>
      </c>
      <c r="K10" s="1">
        <v>0</v>
      </c>
      <c r="L10" s="2">
        <v>20939510</v>
      </c>
      <c r="M10" s="1">
        <v>0</v>
      </c>
    </row>
    <row r="11" spans="1:13" x14ac:dyDescent="0.25">
      <c r="A11">
        <v>10</v>
      </c>
      <c r="B11" s="1">
        <v>1793581000</v>
      </c>
      <c r="C11" s="1">
        <v>1286022000</v>
      </c>
      <c r="D11" s="1">
        <v>-1872717000</v>
      </c>
      <c r="E11" s="1">
        <v>3006135000</v>
      </c>
      <c r="F11" s="1">
        <v>2593068000</v>
      </c>
      <c r="G11" s="1">
        <v>1599011000</v>
      </c>
      <c r="H11" s="1">
        <v>-1.131923E-2</v>
      </c>
      <c r="I11" s="1">
        <v>0.1140404</v>
      </c>
      <c r="J11" s="2">
        <v>1793581000</v>
      </c>
      <c r="K11" s="1">
        <v>0</v>
      </c>
      <c r="L11" s="2">
        <v>-1872717000</v>
      </c>
      <c r="M11" s="1">
        <v>0</v>
      </c>
    </row>
    <row r="12" spans="1:13" x14ac:dyDescent="0.25">
      <c r="A12">
        <v>11</v>
      </c>
      <c r="B12" s="1">
        <v>-48778480000</v>
      </c>
      <c r="C12" s="1">
        <v>98637720000</v>
      </c>
      <c r="D12" s="1">
        <v>-13523080000</v>
      </c>
      <c r="E12" s="1">
        <v>116295800000</v>
      </c>
      <c r="F12" s="1">
        <v>50618320000</v>
      </c>
      <c r="G12" s="1">
        <v>71968860000</v>
      </c>
      <c r="H12" s="1">
        <v>-6.1304630000000001E-3</v>
      </c>
      <c r="I12" s="1">
        <v>8.4098419999999993E-2</v>
      </c>
      <c r="J12" s="2">
        <v>-48778480000</v>
      </c>
      <c r="K12" s="1">
        <v>0</v>
      </c>
      <c r="L12" s="2">
        <v>-13523080000</v>
      </c>
      <c r="M12" s="1">
        <v>0</v>
      </c>
    </row>
    <row r="13" spans="1:13" x14ac:dyDescent="0.25">
      <c r="A13">
        <v>12</v>
      </c>
      <c r="B13" s="1">
        <v>-842189900000</v>
      </c>
      <c r="C13" s="1">
        <v>7240647000000</v>
      </c>
      <c r="D13" s="1">
        <v>-2561704000000</v>
      </c>
      <c r="E13" s="1">
        <v>8113680000000</v>
      </c>
      <c r="F13" s="1">
        <v>2696593000000</v>
      </c>
      <c r="G13" s="1">
        <v>5058378000000</v>
      </c>
      <c r="H13" s="1">
        <v>2.2480770000000001E-2</v>
      </c>
      <c r="I13" s="1">
        <v>7.2280410000000003E-2</v>
      </c>
      <c r="J13" s="2">
        <v>-842189900000</v>
      </c>
      <c r="K13" s="1">
        <v>0</v>
      </c>
      <c r="L13" s="2">
        <v>-2561704000000</v>
      </c>
      <c r="M13" s="1">
        <v>0</v>
      </c>
    </row>
    <row r="14" spans="1:13" x14ac:dyDescent="0.25">
      <c r="A14">
        <v>13</v>
      </c>
      <c r="B14" s="1">
        <v>-17425570000000</v>
      </c>
      <c r="C14" s="1">
        <v>564273700000000</v>
      </c>
      <c r="D14" s="1">
        <v>-208123800000000</v>
      </c>
      <c r="E14" s="1">
        <v>738177600000000</v>
      </c>
      <c r="F14" s="1">
        <v>208852000000000</v>
      </c>
      <c r="G14" s="1">
        <v>389119600000000</v>
      </c>
      <c r="H14" s="1">
        <v>-2.2956540000000001E-2</v>
      </c>
      <c r="I14" s="1">
        <v>7.4586940000000004E-2</v>
      </c>
      <c r="J14" s="2">
        <v>-17425570000000</v>
      </c>
      <c r="K14" s="1">
        <v>0</v>
      </c>
      <c r="L14" s="2">
        <v>-208123800000000</v>
      </c>
      <c r="M14" s="1">
        <v>0</v>
      </c>
    </row>
    <row r="15" spans="1:13" x14ac:dyDescent="0.25">
      <c r="A15">
        <v>14</v>
      </c>
      <c r="B15" s="1">
        <v>-9308818000000000</v>
      </c>
      <c r="C15" s="1">
        <v>2.394901E+16</v>
      </c>
      <c r="D15" s="1">
        <v>-2.372566E+16</v>
      </c>
      <c r="E15" s="1">
        <v>2.994598E+16</v>
      </c>
      <c r="F15" s="1">
        <v>2.548649E+16</v>
      </c>
      <c r="G15" s="1">
        <v>1.797278E+16</v>
      </c>
      <c r="H15" s="1">
        <v>-8.3377020000000007E-3</v>
      </c>
      <c r="I15" s="1">
        <v>6.1292640000000002E-2</v>
      </c>
      <c r="J15" s="2">
        <v>-9308818000000000</v>
      </c>
      <c r="K15" s="1">
        <v>0</v>
      </c>
      <c r="L15" s="2">
        <v>-2.372566E+16</v>
      </c>
      <c r="M15" s="1">
        <v>0</v>
      </c>
    </row>
    <row r="16" spans="1:13" x14ac:dyDescent="0.25">
      <c r="A16">
        <v>15</v>
      </c>
      <c r="B16" s="1">
        <v>-7.803062E+17</v>
      </c>
      <c r="C16" s="1">
        <v>1.326404E+18</v>
      </c>
      <c r="D16" s="1">
        <v>6.959324E+17</v>
      </c>
      <c r="E16" s="1">
        <v>2.065636E+18</v>
      </c>
      <c r="F16" s="1">
        <v>1.045562E+18</v>
      </c>
      <c r="G16" s="1">
        <v>9.941438E+17</v>
      </c>
      <c r="H16" s="1">
        <v>-1.2129869999999999E-2</v>
      </c>
      <c r="I16" s="1">
        <v>7.0543529999999993E-2</v>
      </c>
      <c r="J16" s="2">
        <v>-7.803062E+17</v>
      </c>
      <c r="K16" s="1">
        <v>0</v>
      </c>
      <c r="L16" s="2">
        <v>6.959324E+17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4.5195439999999999E-4</v>
      </c>
      <c r="B20" s="10">
        <f>C3</f>
        <v>5.5810240000000003E-6</v>
      </c>
      <c r="C20" s="11">
        <f>B2/B3/0.000001</f>
        <v>-54455.161848186457</v>
      </c>
      <c r="D20" s="12">
        <f>C2/B3/0.000001</f>
        <v>213.33211934655358</v>
      </c>
      <c r="E20" s="11">
        <f>D2/B3/0.000001</f>
        <v>6667.9381813740511</v>
      </c>
      <c r="F20" s="11">
        <f>E2/B3/0.000001</f>
        <v>895.67266078170724</v>
      </c>
      <c r="G20" s="10">
        <f>H3</f>
        <v>-6.9958699999999999E-2</v>
      </c>
      <c r="H20" s="10">
        <f>I3</f>
        <v>8.7381319999999998E-2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-0.36968501689648497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-0.1388017454099183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-0.37401670822542477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-7.9997101069020152E-2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-0.36682452966735463</v>
      </c>
      <c r="C25" s="20">
        <f t="shared" si="1"/>
        <v>-4.4989074478537762E-2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-0.3523272564960816</v>
      </c>
      <c r="C26" s="20">
        <f t="shared" si="1"/>
        <v>-2.4324253964987129E-2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-0.33323248710823256</v>
      </c>
      <c r="C27" s="20">
        <f t="shared" si="1"/>
        <v>-1.2293182142659929E-2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-0.31128658092858341</v>
      </c>
      <c r="C28" s="20">
        <f t="shared" si="1"/>
        <v>-5.4614172990451321E-3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-0.28761908162251676</v>
      </c>
      <c r="C29" s="20">
        <f t="shared" si="1"/>
        <v>-1.7601820712610146E-3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-0.26295923474244792</v>
      </c>
      <c r="C30" s="20">
        <f t="shared" si="1"/>
        <v>6.5302836813750244E-5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-0.2377738042711065</v>
      </c>
      <c r="C31" s="20">
        <f t="shared" si="1"/>
        <v>7.8470835884241505E-4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-0.21235654467269338</v>
      </c>
      <c r="C32" s="20">
        <f t="shared" si="1"/>
        <v>8.7636654519889672E-4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-0.18688760074705776</v>
      </c>
      <c r="C33" s="20">
        <f t="shared" si="1"/>
        <v>6.4112875973630244E-4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-0.16147365567718383</v>
      </c>
      <c r="C34" s="20">
        <f t="shared" si="1"/>
        <v>2.6991997744756421E-4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-0.13617524542145573</v>
      </c>
      <c r="C35" s="20">
        <f t="shared" si="1"/>
        <v>-1.1527526767741831E-4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-0.11102516764428777</v>
      </c>
      <c r="C36" s="20">
        <f t="shared" si="1"/>
        <v>-4.3580107395130654E-4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-8.604055140754692E-2</v>
      </c>
      <c r="C37" s="20">
        <f t="shared" si="1"/>
        <v>-6.3990770627393571E-4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-6.1230407139391867E-2</v>
      </c>
      <c r="C38" s="20">
        <f t="shared" si="1"/>
        <v>-6.9211572785872987E-4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-3.6600033041255649E-2</v>
      </c>
      <c r="C39" s="20">
        <f t="shared" si="1"/>
        <v>-5.6642627977824015E-4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-1.2153342962289716E-2</v>
      </c>
      <c r="C40" s="20">
        <f t="shared" si="1"/>
        <v>-2.4217772893177653E-4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1.21060777366123E-2</v>
      </c>
      <c r="C41" s="20">
        <f t="shared" si="1"/>
        <v>2.9826551902013788E-4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3.6174614278982095E-2</v>
      </c>
      <c r="C42" s="20">
        <f t="shared" si="1"/>
        <v>1.0705725357647337E-3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6.0048596255808676E-2</v>
      </c>
      <c r="C43" s="20">
        <f t="shared" si="1"/>
        <v>2.0886537369552592E-3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8.3724413007449705E-2</v>
      </c>
      <c r="C44" s="20">
        <f t="shared" si="1"/>
        <v>3.3642467368697171E-3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0.10719871623743668</v>
      </c>
      <c r="C45" s="20">
        <f t="shared" si="1"/>
        <v>4.905922337989462E-3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0.13046873540846618</v>
      </c>
      <c r="C46" s="20">
        <f t="shared" si="1"/>
        <v>6.7173070228515857E-3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0.15353271853701694</v>
      </c>
      <c r="C47" s="20">
        <f t="shared" si="1"/>
        <v>8.7939387268942976E-3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0.17639032047015082</v>
      </c>
      <c r="C48" s="20">
        <f t="shared" si="1"/>
        <v>1.1117538652254103E-2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0.19904222340421893</v>
      </c>
      <c r="C49" s="20">
        <f t="shared" si="1"/>
        <v>1.3645426537632607E-2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0.2214870891598926</v>
      </c>
      <c r="C50" s="20">
        <f t="shared" si="1"/>
        <v>1.6291125371926288E-2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0.24371161824646145</v>
      </c>
      <c r="C51" s="20">
        <f t="shared" si="1"/>
        <v>1.8889669415187466E-2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0.26566527653510624</v>
      </c>
      <c r="C52" s="20">
        <f t="shared" si="1"/>
        <v>2.1137529689410101E-2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0.28720405699171275</v>
      </c>
      <c r="C53" s="20">
        <f t="shared" si="1"/>
        <v>2.2492231857256073E-2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0.30797595254327881</v>
      </c>
      <c r="C54" s="20">
        <f t="shared" si="1"/>
        <v>2.2010582335268793E-2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0.3272025772394393</v>
      </c>
      <c r="C55" s="20">
        <f t="shared" si="1"/>
        <v>1.8097007345063715E-2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0.34328389421554456</v>
      </c>
      <c r="C56" s="20">
        <f t="shared" si="1"/>
        <v>8.1251281323900196E-3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0.35311283292957568</v>
      </c>
      <c r="C57" s="20">
        <f t="shared" si="1"/>
        <v>-1.2113084959759657E-2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0.35092934816269716</v>
      </c>
      <c r="C58" s="20">
        <f t="shared" si="1"/>
        <v>-4.9184470589018044E-2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A2" sqref="A2:M16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-2.5436449999999999E-5</v>
      </c>
      <c r="C2" s="1">
        <v>8.4538969999999997E-8</v>
      </c>
      <c r="D2" s="1">
        <v>2.4330039999999999E-6</v>
      </c>
      <c r="E2" s="1">
        <v>4.1222379999999999E-7</v>
      </c>
      <c r="F2" s="1">
        <v>2.555255E-5</v>
      </c>
      <c r="G2" s="1">
        <v>8.5460560000000005E-8</v>
      </c>
      <c r="H2" s="1">
        <v>-9.5185720000000001E-2</v>
      </c>
      <c r="I2" s="1">
        <v>6.0217050000000001E-2</v>
      </c>
      <c r="J2" s="2">
        <v>-2.5436449999999999E-5</v>
      </c>
      <c r="K2" s="1">
        <v>0</v>
      </c>
      <c r="L2" s="2">
        <v>2.4330039999999999E-6</v>
      </c>
      <c r="M2" s="1">
        <v>0</v>
      </c>
    </row>
    <row r="3" spans="1:13" x14ac:dyDescent="0.25">
      <c r="A3">
        <v>2</v>
      </c>
      <c r="B3" s="1">
        <v>5.3180549999999995E-4</v>
      </c>
      <c r="C3" s="1">
        <v>5.1490049999999997E-6</v>
      </c>
      <c r="D3" s="1">
        <v>-6.6763019999999999E-5</v>
      </c>
      <c r="E3" s="1">
        <v>2.4816930000000002E-5</v>
      </c>
      <c r="F3" s="1">
        <v>5.3597989999999999E-4</v>
      </c>
      <c r="G3" s="1">
        <v>6.4456410000000002E-6</v>
      </c>
      <c r="H3" s="1">
        <v>-6.0434839999999997E-2</v>
      </c>
      <c r="I3" s="1">
        <v>8.4547280000000002E-2</v>
      </c>
      <c r="J3" s="2">
        <v>5.3180549999999995E-4</v>
      </c>
      <c r="K3" s="1">
        <v>0</v>
      </c>
      <c r="L3" s="2">
        <v>-6.6763019999999999E-5</v>
      </c>
      <c r="M3" s="1">
        <v>0</v>
      </c>
    </row>
    <row r="4" spans="1:13" x14ac:dyDescent="0.25">
      <c r="A4">
        <v>3</v>
      </c>
      <c r="B4" s="1">
        <v>1.148834E-2</v>
      </c>
      <c r="C4" s="1">
        <v>3.883763E-4</v>
      </c>
      <c r="D4" s="1">
        <v>6.2832790000000001E-4</v>
      </c>
      <c r="E4" s="1">
        <v>1.346411E-3</v>
      </c>
      <c r="F4" s="1">
        <v>1.150551E-2</v>
      </c>
      <c r="G4" s="1">
        <v>5.5403739999999998E-4</v>
      </c>
      <c r="H4" s="1">
        <v>1.643004E-2</v>
      </c>
      <c r="I4" s="1">
        <v>0.1255897</v>
      </c>
      <c r="J4" s="2">
        <v>1.148834E-2</v>
      </c>
      <c r="K4" s="1">
        <v>0</v>
      </c>
      <c r="L4" s="2">
        <v>6.2832790000000001E-4</v>
      </c>
      <c r="M4" s="1">
        <v>0</v>
      </c>
    </row>
    <row r="5" spans="1:13" x14ac:dyDescent="0.25">
      <c r="A5">
        <v>4</v>
      </c>
      <c r="B5" s="1">
        <v>-3.7694659999999998E-2</v>
      </c>
      <c r="C5" s="1">
        <v>2.434766E-2</v>
      </c>
      <c r="D5" s="1">
        <v>5.0144689999999999E-2</v>
      </c>
      <c r="E5" s="1">
        <v>8.0341720000000005E-2</v>
      </c>
      <c r="F5" s="1">
        <v>6.2732579999999996E-2</v>
      </c>
      <c r="G5" s="1">
        <v>4.3672629999999997E-2</v>
      </c>
      <c r="H5" s="1">
        <v>5.3714879999999998E-3</v>
      </c>
      <c r="I5" s="1">
        <v>0.31511099999999997</v>
      </c>
      <c r="J5" s="2">
        <v>-3.7694659999999998E-2</v>
      </c>
      <c r="K5" s="1">
        <v>0</v>
      </c>
      <c r="L5" s="2">
        <v>5.0144689999999999E-2</v>
      </c>
      <c r="M5" s="1">
        <v>0</v>
      </c>
    </row>
    <row r="6" spans="1:13" x14ac:dyDescent="0.25">
      <c r="A6">
        <v>5</v>
      </c>
      <c r="B6" s="1">
        <v>0.17378260000000001</v>
      </c>
      <c r="C6" s="1">
        <v>1.7064299999999999</v>
      </c>
      <c r="D6" s="1">
        <v>-1.709589</v>
      </c>
      <c r="E6" s="1">
        <v>4.5420740000000004</v>
      </c>
      <c r="F6" s="1">
        <v>1.718399</v>
      </c>
      <c r="G6" s="1">
        <v>2.556276</v>
      </c>
      <c r="H6" s="1">
        <v>2.6071169999999999E-3</v>
      </c>
      <c r="I6" s="1">
        <v>0.23789869999999999</v>
      </c>
      <c r="J6" s="2">
        <v>0.17378260000000001</v>
      </c>
      <c r="K6" s="1">
        <v>0</v>
      </c>
      <c r="L6" s="2">
        <v>-1.709589</v>
      </c>
      <c r="M6" s="1">
        <v>0</v>
      </c>
    </row>
    <row r="7" spans="1:13" x14ac:dyDescent="0.25">
      <c r="A7">
        <v>6</v>
      </c>
      <c r="B7" s="1">
        <v>-117.51309999999999</v>
      </c>
      <c r="C7" s="1">
        <v>104.6075</v>
      </c>
      <c r="D7" s="1">
        <v>8.5114280000000004</v>
      </c>
      <c r="E7" s="1">
        <v>246.24100000000001</v>
      </c>
      <c r="F7" s="1">
        <v>117.821</v>
      </c>
      <c r="G7" s="1">
        <v>125.0933</v>
      </c>
      <c r="H7" s="1">
        <v>-5.3739429999999998E-2</v>
      </c>
      <c r="I7" s="1">
        <v>0.1768894</v>
      </c>
      <c r="J7" s="2">
        <v>-117.51309999999999</v>
      </c>
      <c r="K7" s="1">
        <v>0</v>
      </c>
      <c r="L7" s="2">
        <v>8.5114280000000004</v>
      </c>
      <c r="M7" s="1">
        <v>0</v>
      </c>
    </row>
    <row r="8" spans="1:13" x14ac:dyDescent="0.25">
      <c r="A8">
        <v>7</v>
      </c>
      <c r="B8" s="1">
        <v>-5672.1729999999998</v>
      </c>
      <c r="C8" s="1">
        <v>8454.6209999999992</v>
      </c>
      <c r="D8" s="1">
        <v>-1044.6020000000001</v>
      </c>
      <c r="E8" s="1">
        <v>9832.5750000000007</v>
      </c>
      <c r="F8" s="1">
        <v>5767.5590000000002</v>
      </c>
      <c r="G8" s="1">
        <v>6617.8680000000004</v>
      </c>
      <c r="H8" s="1">
        <v>1.6447679999999999E-2</v>
      </c>
      <c r="I8" s="1">
        <v>0.15328600000000001</v>
      </c>
      <c r="J8" s="2">
        <v>-5672.1729999999998</v>
      </c>
      <c r="K8" s="1">
        <v>0</v>
      </c>
      <c r="L8" s="2">
        <v>-1044.6020000000001</v>
      </c>
      <c r="M8" s="1">
        <v>0</v>
      </c>
    </row>
    <row r="9" spans="1:13" x14ac:dyDescent="0.25">
      <c r="A9">
        <v>8</v>
      </c>
      <c r="B9" s="1">
        <v>690764.3</v>
      </c>
      <c r="C9" s="1">
        <v>437206.5</v>
      </c>
      <c r="D9" s="1">
        <v>-84643.65</v>
      </c>
      <c r="E9" s="1">
        <v>803903</v>
      </c>
      <c r="F9" s="1">
        <v>695930.9</v>
      </c>
      <c r="G9" s="1">
        <v>456756.9</v>
      </c>
      <c r="H9" s="1">
        <v>2.4923749999999998E-3</v>
      </c>
      <c r="I9" s="1">
        <v>0.135466</v>
      </c>
      <c r="J9" s="2">
        <v>690764.3</v>
      </c>
      <c r="K9" s="1">
        <v>0</v>
      </c>
      <c r="L9" s="2">
        <v>-84643.65</v>
      </c>
      <c r="M9" s="1">
        <v>0</v>
      </c>
    </row>
    <row r="10" spans="1:13" x14ac:dyDescent="0.25">
      <c r="A10">
        <v>9</v>
      </c>
      <c r="B10" s="1">
        <v>-15082030</v>
      </c>
      <c r="C10" s="1">
        <v>32250440</v>
      </c>
      <c r="D10" s="1">
        <v>-17868470</v>
      </c>
      <c r="E10" s="1">
        <v>46721590</v>
      </c>
      <c r="F10" s="1">
        <v>23382680</v>
      </c>
      <c r="G10" s="1">
        <v>26458540</v>
      </c>
      <c r="H10" s="1">
        <v>-3.6263810000000001E-3</v>
      </c>
      <c r="I10" s="1">
        <v>0.10631019999999999</v>
      </c>
      <c r="J10" s="2">
        <v>-15082030</v>
      </c>
      <c r="K10" s="1">
        <v>0</v>
      </c>
      <c r="L10" s="2">
        <v>-17868470</v>
      </c>
      <c r="M10" s="1">
        <v>0</v>
      </c>
    </row>
    <row r="11" spans="1:13" x14ac:dyDescent="0.25">
      <c r="A11">
        <v>10</v>
      </c>
      <c r="B11" s="1">
        <v>447005800</v>
      </c>
      <c r="C11" s="1">
        <v>1621743000</v>
      </c>
      <c r="D11" s="1">
        <v>767540000</v>
      </c>
      <c r="E11" s="1">
        <v>2962328000</v>
      </c>
      <c r="F11" s="1">
        <v>888218400</v>
      </c>
      <c r="G11" s="1">
        <v>1344802000</v>
      </c>
      <c r="H11" s="1">
        <v>-1.469786E-2</v>
      </c>
      <c r="I11" s="1">
        <v>0.11040560000000001</v>
      </c>
      <c r="J11" s="2">
        <v>447005800</v>
      </c>
      <c r="K11" s="1">
        <v>0</v>
      </c>
      <c r="L11" s="2">
        <v>767540000</v>
      </c>
      <c r="M11" s="1">
        <v>0</v>
      </c>
    </row>
    <row r="12" spans="1:13" x14ac:dyDescent="0.25">
      <c r="A12">
        <v>11</v>
      </c>
      <c r="B12" s="1">
        <v>-73516120000</v>
      </c>
      <c r="C12" s="1">
        <v>115218500000</v>
      </c>
      <c r="D12" s="1">
        <v>-248017800000</v>
      </c>
      <c r="E12" s="1">
        <v>129736900000</v>
      </c>
      <c r="F12" s="1">
        <v>258684100000</v>
      </c>
      <c r="G12" s="1">
        <v>77994750000</v>
      </c>
      <c r="H12" s="1">
        <v>-8.9599750000000002E-3</v>
      </c>
      <c r="I12" s="1">
        <v>8.2732920000000001E-2</v>
      </c>
      <c r="J12" s="2">
        <v>-73516120000</v>
      </c>
      <c r="K12" s="1">
        <v>0</v>
      </c>
      <c r="L12" s="2">
        <v>-248017800000</v>
      </c>
      <c r="M12" s="1">
        <v>0</v>
      </c>
    </row>
    <row r="13" spans="1:13" x14ac:dyDescent="0.25">
      <c r="A13">
        <v>12</v>
      </c>
      <c r="B13" s="1">
        <v>1553764000000</v>
      </c>
      <c r="C13" s="1">
        <v>8433559000000</v>
      </c>
      <c r="D13" s="1">
        <v>6614212000000</v>
      </c>
      <c r="E13" s="1">
        <v>9250664000000</v>
      </c>
      <c r="F13" s="1">
        <v>6794261000000</v>
      </c>
      <c r="G13" s="1">
        <v>5362775000000</v>
      </c>
      <c r="H13" s="1">
        <v>1.301334E-2</v>
      </c>
      <c r="I13" s="1">
        <v>8.2948930000000004E-2</v>
      </c>
      <c r="J13" s="2">
        <v>1553764000000</v>
      </c>
      <c r="K13" s="1">
        <v>0</v>
      </c>
      <c r="L13" s="2">
        <v>6614212000000</v>
      </c>
      <c r="M13" s="1">
        <v>0</v>
      </c>
    </row>
    <row r="14" spans="1:13" x14ac:dyDescent="0.25">
      <c r="A14">
        <v>13</v>
      </c>
      <c r="B14" s="1">
        <v>-383495000000000</v>
      </c>
      <c r="C14" s="1">
        <v>154512700000000</v>
      </c>
      <c r="D14" s="1">
        <v>-488925900000000</v>
      </c>
      <c r="E14" s="1">
        <v>579857600000000</v>
      </c>
      <c r="F14" s="1">
        <v>621383200000000</v>
      </c>
      <c r="G14" s="1">
        <v>353860000000000</v>
      </c>
      <c r="H14" s="1">
        <v>-2.0845579999999998E-3</v>
      </c>
      <c r="I14" s="1">
        <v>8.5693119999999998E-2</v>
      </c>
      <c r="J14" s="2">
        <v>-383495000000000</v>
      </c>
      <c r="K14" s="1">
        <v>0</v>
      </c>
      <c r="L14" s="2">
        <v>-488925900000000</v>
      </c>
      <c r="M14" s="1">
        <v>0</v>
      </c>
    </row>
    <row r="15" spans="1:13" x14ac:dyDescent="0.25">
      <c r="A15">
        <v>14</v>
      </c>
      <c r="B15" s="1">
        <v>2.609205E+16</v>
      </c>
      <c r="C15" s="1">
        <v>2.360181E+16</v>
      </c>
      <c r="D15" s="1">
        <v>-4.06078E+16</v>
      </c>
      <c r="E15" s="1">
        <v>2.862982E+16</v>
      </c>
      <c r="F15" s="1">
        <v>4.826788E+16</v>
      </c>
      <c r="G15" s="1">
        <v>2.029072E+16</v>
      </c>
      <c r="H15" s="1">
        <v>-1.148979E-2</v>
      </c>
      <c r="I15" s="1">
        <v>7.6466660000000006E-2</v>
      </c>
      <c r="J15" s="2">
        <v>2.609205E+16</v>
      </c>
      <c r="K15" s="1">
        <v>0</v>
      </c>
      <c r="L15" s="2">
        <v>-4.06078E+16</v>
      </c>
      <c r="M15" s="1">
        <v>0</v>
      </c>
    </row>
    <row r="16" spans="1:13" x14ac:dyDescent="0.25">
      <c r="A16">
        <v>15</v>
      </c>
      <c r="B16" s="1">
        <v>6.046839E+17</v>
      </c>
      <c r="C16" s="1">
        <v>1.111242E+18</v>
      </c>
      <c r="D16" s="1">
        <v>-1.069679E+18</v>
      </c>
      <c r="E16" s="1">
        <v>1.91069E+18</v>
      </c>
      <c r="F16" s="1">
        <v>1.228762E+18</v>
      </c>
      <c r="G16" s="1">
        <v>1.053048E+18</v>
      </c>
      <c r="H16" s="1">
        <v>-2.3839530000000001E-2</v>
      </c>
      <c r="I16" s="1">
        <v>5.8725479999999997E-2</v>
      </c>
      <c r="J16" s="2">
        <v>6.046839E+17</v>
      </c>
      <c r="K16" s="1">
        <v>0</v>
      </c>
      <c r="L16" s="2">
        <v>-1.069679E+18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5.3180549999999995E-4</v>
      </c>
      <c r="B20" s="10">
        <f>C3</f>
        <v>5.1490049999999997E-6</v>
      </c>
      <c r="C20" s="11">
        <f>B2/B3/0.000001</f>
        <v>-47830.362792411899</v>
      </c>
      <c r="D20" s="12">
        <f>C2/B3/0.000001</f>
        <v>158.96595653862175</v>
      </c>
      <c r="E20" s="11">
        <f>D2/B3/0.000001</f>
        <v>4574.988412116837</v>
      </c>
      <c r="F20" s="11">
        <f>E2/B3/0.000001</f>
        <v>775.14015932516691</v>
      </c>
      <c r="G20" s="10">
        <f>H3</f>
        <v>-6.0434839999999997E-2</v>
      </c>
      <c r="H20" s="10">
        <f>I3</f>
        <v>8.4547280000000002E-2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-0.25855620593166057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0.16984905854605706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-0.29323349045592023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0.10609733345382047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-0.30491924178186902</v>
      </c>
      <c r="C25" s="20">
        <f t="shared" si="1"/>
        <v>6.5571757505565181E-2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-0.30230318486184687</v>
      </c>
      <c r="C26" s="20">
        <f t="shared" si="1"/>
        <v>4.0053424624229707E-2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-0.29096602398513938</v>
      </c>
      <c r="C27" s="20">
        <f t="shared" si="1"/>
        <v>2.4069854853898148E-2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-0.27442772548454786</v>
      </c>
      <c r="C28" s="20">
        <f t="shared" si="1"/>
        <v>1.404645205305728E-2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-0.25487094506853281</v>
      </c>
      <c r="C29" s="20">
        <f t="shared" si="1"/>
        <v>7.7007802732759088E-3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-0.23362803875687863</v>
      </c>
      <c r="C30" s="20">
        <f t="shared" si="1"/>
        <v>3.6133701048684293E-3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-0.21150067256332125</v>
      </c>
      <c r="C31" s="20">
        <f t="shared" si="1"/>
        <v>9.2724164670514037E-4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-0.18896432253445683</v>
      </c>
      <c r="C32" s="20">
        <f t="shared" si="1"/>
        <v>-8.5879656692180745E-4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-0.16629605896021976</v>
      </c>
      <c r="C33" s="20">
        <f t="shared" si="1"/>
        <v>-2.0289698216044857E-3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-0.14365285972587472</v>
      </c>
      <c r="C34" s="20">
        <f t="shared" si="1"/>
        <v>-2.740895203876131E-3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-0.1211190767792449</v>
      </c>
      <c r="C35" s="20">
        <f t="shared" si="1"/>
        <v>-3.0820978460089996E-3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-9.8735271974617525E-2</v>
      </c>
      <c r="C36" s="20">
        <f t="shared" si="1"/>
        <v>-3.103639150676045E-3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-7.6516079857797001E-2</v>
      </c>
      <c r="C37" s="20">
        <f t="shared" si="1"/>
        <v>-2.8389181903284832E-3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-5.4461667984885442E-2</v>
      </c>
      <c r="C38" s="20">
        <f t="shared" si="1"/>
        <v>-2.3133950080431124E-3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-3.2565389410120278E-2</v>
      </c>
      <c r="C39" s="20">
        <f t="shared" si="1"/>
        <v>-1.5491491575290899E-3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-1.0819035425969377E-2</v>
      </c>
      <c r="C40" s="20">
        <f t="shared" si="1"/>
        <v>-5.6677397177427467E-4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1.0783567576262162E-2</v>
      </c>
      <c r="C41" s="20">
        <f t="shared" si="1"/>
        <v>6.1392167199438041E-4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3.224421930081408E-2</v>
      </c>
      <c r="C42" s="20">
        <f t="shared" si="1"/>
        <v>1.9736189966245076E-3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5.355903482900054E-2</v>
      </c>
      <c r="C43" s="20">
        <f t="shared" si="1"/>
        <v>3.493214912250059E-3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7.4718003292197535E-2</v>
      </c>
      <c r="C44" s="20">
        <f t="shared" si="1"/>
        <v>5.1533473285583341E-3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9.5705268030104901E-2</v>
      </c>
      <c r="C45" s="20">
        <f t="shared" si="1"/>
        <v>6.9334833832911079E-3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0.11649994119723386</v>
      </c>
      <c r="C46" s="20">
        <f t="shared" si="1"/>
        <v>8.8101374486928702E-3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0.1370771887935209</v>
      </c>
      <c r="C47" s="20">
        <f t="shared" si="1"/>
        <v>1.0753328533396261E-2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0.15740925493972477</v>
      </c>
      <c r="C48" s="20">
        <f t="shared" si="1"/>
        <v>1.2719446721271338E-2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0.17746616140885837</v>
      </c>
      <c r="C49" s="20">
        <f t="shared" si="1"/>
        <v>1.4636845234851214E-2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0.19721626958403252</v>
      </c>
      <c r="C50" s="20">
        <f t="shared" si="1"/>
        <v>1.6376989290038696E-2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0.2166281572350908</v>
      </c>
      <c r="C51" s="20">
        <f t="shared" si="1"/>
        <v>1.76977739503212E-2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0.23567801480062719</v>
      </c>
      <c r="C52" s="20">
        <f t="shared" si="1"/>
        <v>1.8135082176775244E-2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0.25437199067648314</v>
      </c>
      <c r="C53" s="20">
        <f t="shared" si="1"/>
        <v>1.6801597354617271E-2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0.2728019868374828</v>
      </c>
      <c r="C54" s="20">
        <f t="shared" si="1"/>
        <v>1.2025382059657252E-2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0.29126817217417289</v>
      </c>
      <c r="C55" s="20">
        <f t="shared" si="1"/>
        <v>7.2097812317792049E-4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0.31052435192094668</v>
      </c>
      <c r="C56" s="20">
        <f t="shared" si="1"/>
        <v>-2.2672070875485534E-2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0.3322363795337348</v>
      </c>
      <c r="C57" s="20">
        <f t="shared" si="1"/>
        <v>-6.7930370290715206E-2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0.35979286065493121</v>
      </c>
      <c r="C58" s="20">
        <f t="shared" si="1"/>
        <v>-0.1518281621348794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34" workbookViewId="0">
      <selection activeCell="A2" sqref="A2:M16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-2.622194E-5</v>
      </c>
      <c r="C2" s="1">
        <v>1.783846E-7</v>
      </c>
      <c r="D2" s="1">
        <v>2.5698509999999999E-6</v>
      </c>
      <c r="E2" s="1">
        <v>1.9073350000000001E-7</v>
      </c>
      <c r="F2" s="1">
        <v>2.634757E-5</v>
      </c>
      <c r="G2" s="1">
        <v>1.769623E-7</v>
      </c>
      <c r="H2" s="1">
        <v>-9.7718280000000005E-2</v>
      </c>
      <c r="I2" s="1">
        <v>2.7344830000000001E-2</v>
      </c>
      <c r="J2" s="2">
        <v>-2.622194E-5</v>
      </c>
      <c r="K2" s="1">
        <v>0</v>
      </c>
      <c r="L2" s="2">
        <v>2.5698509999999999E-6</v>
      </c>
      <c r="M2" s="1">
        <v>0</v>
      </c>
    </row>
    <row r="3" spans="1:13" x14ac:dyDescent="0.25">
      <c r="A3">
        <v>2</v>
      </c>
      <c r="B3" s="1">
        <v>5.1890300000000003E-4</v>
      </c>
      <c r="C3" s="1">
        <v>7.5040020000000001E-6</v>
      </c>
      <c r="D3" s="1">
        <v>-5.3492490000000003E-5</v>
      </c>
      <c r="E3" s="1">
        <v>1.10835E-5</v>
      </c>
      <c r="F3" s="1">
        <v>5.2165299999999996E-4</v>
      </c>
      <c r="G3" s="1">
        <v>7.3382359999999996E-6</v>
      </c>
      <c r="H3" s="1">
        <v>-5.1963290000000002E-2</v>
      </c>
      <c r="I3" s="1">
        <v>3.9673449999999999E-2</v>
      </c>
      <c r="J3" s="2">
        <v>5.1890300000000003E-4</v>
      </c>
      <c r="K3" s="1">
        <v>0</v>
      </c>
      <c r="L3" s="2">
        <v>-5.3492490000000003E-5</v>
      </c>
      <c r="M3" s="1">
        <v>0</v>
      </c>
    </row>
    <row r="4" spans="1:13" x14ac:dyDescent="0.25">
      <c r="A4">
        <v>3</v>
      </c>
      <c r="B4" s="1">
        <v>1.1553239999999999E-2</v>
      </c>
      <c r="C4" s="1">
        <v>4.1625810000000001E-4</v>
      </c>
      <c r="D4" s="1">
        <v>9.8842029999999994E-4</v>
      </c>
      <c r="E4" s="1">
        <v>6.2233320000000005E-4</v>
      </c>
      <c r="F4" s="1">
        <v>1.159544E-2</v>
      </c>
      <c r="G4" s="1">
        <v>4.2188350000000002E-4</v>
      </c>
      <c r="H4" s="1">
        <v>2.6686640000000001E-2</v>
      </c>
      <c r="I4" s="1">
        <v>6.5814769999999995E-2</v>
      </c>
      <c r="J4" s="2">
        <v>1.1553239999999999E-2</v>
      </c>
      <c r="K4" s="1">
        <v>0</v>
      </c>
      <c r="L4" s="2">
        <v>9.8842029999999994E-4</v>
      </c>
      <c r="M4" s="1">
        <v>0</v>
      </c>
    </row>
    <row r="5" spans="1:13" x14ac:dyDescent="0.25">
      <c r="A5">
        <v>4</v>
      </c>
      <c r="B5" s="1">
        <v>-6.4053150000000003E-2</v>
      </c>
      <c r="C5" s="1">
        <v>2.1880710000000001E-2</v>
      </c>
      <c r="D5" s="1">
        <v>4.1217869999999997E-2</v>
      </c>
      <c r="E5" s="1">
        <v>3.1281650000000001E-2</v>
      </c>
      <c r="F5" s="1">
        <v>7.6169009999999995E-2</v>
      </c>
      <c r="G5" s="1">
        <v>2.0592570000000001E-2</v>
      </c>
      <c r="H5" s="1">
        <v>-0.11000360000000001</v>
      </c>
      <c r="I5" s="1">
        <v>0.18224960000000001</v>
      </c>
      <c r="J5" s="2">
        <v>-6.4053150000000003E-2</v>
      </c>
      <c r="K5" s="1">
        <v>0</v>
      </c>
      <c r="L5" s="2">
        <v>4.1217869999999997E-2</v>
      </c>
      <c r="M5" s="1">
        <v>0</v>
      </c>
    </row>
    <row r="6" spans="1:13" x14ac:dyDescent="0.25">
      <c r="A6">
        <v>5</v>
      </c>
      <c r="B6" s="1">
        <v>0.13501840000000001</v>
      </c>
      <c r="C6" s="1">
        <v>1.18269</v>
      </c>
      <c r="D6" s="1">
        <v>2.1741549999999998</v>
      </c>
      <c r="E6" s="1">
        <v>1.8357460000000001</v>
      </c>
      <c r="F6" s="1">
        <v>2.1783429999999999</v>
      </c>
      <c r="G6" s="1">
        <v>1.143416</v>
      </c>
      <c r="H6" s="1">
        <v>-3.4747640000000003E-2</v>
      </c>
      <c r="I6" s="1">
        <v>0.18754599999999999</v>
      </c>
      <c r="J6" s="2">
        <v>0.13501840000000001</v>
      </c>
      <c r="K6" s="1">
        <v>0</v>
      </c>
      <c r="L6" s="2">
        <v>2.1741549999999998</v>
      </c>
      <c r="M6" s="1">
        <v>0</v>
      </c>
    </row>
    <row r="7" spans="1:13" x14ac:dyDescent="0.25">
      <c r="A7">
        <v>6</v>
      </c>
      <c r="B7" s="1">
        <v>7.4666750000000004</v>
      </c>
      <c r="C7" s="1">
        <v>83.379230000000007</v>
      </c>
      <c r="D7" s="1">
        <v>30.5974</v>
      </c>
      <c r="E7" s="1">
        <v>116.34050000000001</v>
      </c>
      <c r="F7" s="1">
        <v>31.495270000000001</v>
      </c>
      <c r="G7" s="1">
        <v>58.359529999999999</v>
      </c>
      <c r="H7" s="1">
        <v>-1.3516449999999999E-2</v>
      </c>
      <c r="I7" s="1">
        <v>0.16786200000000001</v>
      </c>
      <c r="J7" s="2">
        <v>7.4666750000000004</v>
      </c>
      <c r="K7" s="1">
        <v>0</v>
      </c>
      <c r="L7" s="2">
        <v>30.5974</v>
      </c>
      <c r="M7" s="1">
        <v>0</v>
      </c>
    </row>
    <row r="8" spans="1:13" x14ac:dyDescent="0.25">
      <c r="A8">
        <v>7</v>
      </c>
      <c r="B8" s="1">
        <v>6954.8019999999997</v>
      </c>
      <c r="C8" s="1">
        <v>7201.2889999999998</v>
      </c>
      <c r="D8" s="1">
        <v>11215.46</v>
      </c>
      <c r="E8" s="1">
        <v>7416.0439999999999</v>
      </c>
      <c r="F8" s="1">
        <v>13196.81</v>
      </c>
      <c r="G8" s="1">
        <v>3471.5189999999998</v>
      </c>
      <c r="H8" s="1">
        <v>1.3104360000000001E-2</v>
      </c>
      <c r="I8" s="1">
        <v>0.11297599999999999</v>
      </c>
      <c r="J8" s="2">
        <v>6954.8019999999997</v>
      </c>
      <c r="K8" s="1">
        <v>0</v>
      </c>
      <c r="L8" s="2">
        <v>11215.46</v>
      </c>
      <c r="M8" s="1">
        <v>0</v>
      </c>
    </row>
    <row r="9" spans="1:13" x14ac:dyDescent="0.25">
      <c r="A9">
        <v>8</v>
      </c>
      <c r="B9" s="1">
        <v>-22739</v>
      </c>
      <c r="C9" s="1">
        <v>450034.5</v>
      </c>
      <c r="D9" s="1">
        <v>739786</v>
      </c>
      <c r="E9" s="1">
        <v>507398.3</v>
      </c>
      <c r="F9" s="1">
        <v>740135.4</v>
      </c>
      <c r="G9" s="1">
        <v>252000.1</v>
      </c>
      <c r="H9" s="1">
        <v>-4.8517949999999997E-2</v>
      </c>
      <c r="I9" s="1">
        <v>0.11053540000000001</v>
      </c>
      <c r="J9" s="2">
        <v>-22739</v>
      </c>
      <c r="K9" s="1">
        <v>0</v>
      </c>
      <c r="L9" s="2">
        <v>739786</v>
      </c>
      <c r="M9" s="1">
        <v>0</v>
      </c>
    </row>
    <row r="10" spans="1:13" x14ac:dyDescent="0.25">
      <c r="A10">
        <v>9</v>
      </c>
      <c r="B10" s="1">
        <v>-13406770</v>
      </c>
      <c r="C10" s="1">
        <v>29946560</v>
      </c>
      <c r="D10" s="1">
        <v>-12816660</v>
      </c>
      <c r="E10" s="1">
        <v>23721210</v>
      </c>
      <c r="F10" s="1">
        <v>18547460</v>
      </c>
      <c r="G10" s="1">
        <v>14560870</v>
      </c>
      <c r="H10" s="1">
        <v>-3.6739059999999997E-2</v>
      </c>
      <c r="I10" s="1">
        <v>9.0577580000000005E-2</v>
      </c>
      <c r="J10" s="2">
        <v>-13406770</v>
      </c>
      <c r="K10" s="1">
        <v>0</v>
      </c>
      <c r="L10" s="2">
        <v>-12816660</v>
      </c>
      <c r="M10" s="1">
        <v>0</v>
      </c>
    </row>
    <row r="11" spans="1:13" x14ac:dyDescent="0.25">
      <c r="A11">
        <v>10</v>
      </c>
      <c r="B11" s="1">
        <v>-84296860</v>
      </c>
      <c r="C11" s="1">
        <v>1836813000</v>
      </c>
      <c r="D11" s="1">
        <v>452283800</v>
      </c>
      <c r="E11" s="1">
        <v>1773595000</v>
      </c>
      <c r="F11" s="1">
        <v>460072400</v>
      </c>
      <c r="G11" s="1">
        <v>1154747000</v>
      </c>
      <c r="H11" s="1">
        <v>4.119544E-2</v>
      </c>
      <c r="I11" s="1">
        <v>0.10015640000000001</v>
      </c>
      <c r="J11" s="2">
        <v>-84296860</v>
      </c>
      <c r="K11" s="1">
        <v>0</v>
      </c>
      <c r="L11" s="2">
        <v>452283800</v>
      </c>
      <c r="M11" s="1">
        <v>0</v>
      </c>
    </row>
    <row r="12" spans="1:13" x14ac:dyDescent="0.25">
      <c r="A12">
        <v>11</v>
      </c>
      <c r="B12" s="1">
        <v>-3239907000</v>
      </c>
      <c r="C12" s="1">
        <v>101167400000</v>
      </c>
      <c r="D12" s="1">
        <v>-148379200000</v>
      </c>
      <c r="E12" s="1">
        <v>126917200000</v>
      </c>
      <c r="F12" s="1">
        <v>148414600000</v>
      </c>
      <c r="G12" s="1">
        <v>80549100000</v>
      </c>
      <c r="H12" s="1">
        <v>6.3240559999999998E-3</v>
      </c>
      <c r="I12" s="1">
        <v>8.6214570000000004E-2</v>
      </c>
      <c r="J12" s="2">
        <v>-3239907000</v>
      </c>
      <c r="K12" s="1">
        <v>0</v>
      </c>
      <c r="L12" s="2">
        <v>-148379200000</v>
      </c>
      <c r="M12" s="1">
        <v>0</v>
      </c>
    </row>
    <row r="13" spans="1:13" x14ac:dyDescent="0.25">
      <c r="A13">
        <v>12</v>
      </c>
      <c r="B13" s="1">
        <v>11649060000000</v>
      </c>
      <c r="C13" s="1">
        <v>4376148000000</v>
      </c>
      <c r="D13" s="1">
        <v>8556255000000</v>
      </c>
      <c r="E13" s="1">
        <v>6406501000000</v>
      </c>
      <c r="F13" s="1">
        <v>14453720000000</v>
      </c>
      <c r="G13" s="1">
        <v>3962742000000</v>
      </c>
      <c r="H13" s="1">
        <v>-3.4260180000000001E-2</v>
      </c>
      <c r="I13" s="1">
        <v>7.1604070000000006E-2</v>
      </c>
      <c r="J13" s="2">
        <v>11649060000000</v>
      </c>
      <c r="K13" s="1">
        <v>0</v>
      </c>
      <c r="L13" s="2">
        <v>8556255000000</v>
      </c>
      <c r="M13" s="1">
        <v>0</v>
      </c>
    </row>
    <row r="14" spans="1:13" x14ac:dyDescent="0.25">
      <c r="A14">
        <v>13</v>
      </c>
      <c r="B14" s="1">
        <v>363824700000000</v>
      </c>
      <c r="C14" s="1">
        <v>427019100000000</v>
      </c>
      <c r="D14" s="1">
        <v>203559300000</v>
      </c>
      <c r="E14" s="1">
        <v>404150400000000</v>
      </c>
      <c r="F14" s="1">
        <v>363824700000000</v>
      </c>
      <c r="G14" s="1">
        <v>247518100000000</v>
      </c>
      <c r="H14" s="1">
        <v>1.0733619999999999E-2</v>
      </c>
      <c r="I14" s="1">
        <v>5.9704309999999997E-2</v>
      </c>
      <c r="J14" s="2">
        <v>363824700000000</v>
      </c>
      <c r="K14" s="1">
        <v>0</v>
      </c>
      <c r="L14" s="2">
        <v>203559300000</v>
      </c>
      <c r="M14" s="1">
        <v>0</v>
      </c>
    </row>
    <row r="15" spans="1:13" x14ac:dyDescent="0.25">
      <c r="A15">
        <v>14</v>
      </c>
      <c r="B15" s="1">
        <v>-2.37999E+16</v>
      </c>
      <c r="C15" s="1">
        <v>1.814071E+16</v>
      </c>
      <c r="D15" s="1">
        <v>-1.351081E+16</v>
      </c>
      <c r="E15" s="1">
        <v>1.801739E+16</v>
      </c>
      <c r="F15" s="1">
        <v>2.736745E+16</v>
      </c>
      <c r="G15" s="1">
        <v>1.040452E+16</v>
      </c>
      <c r="H15" s="1">
        <v>-1.103295E-2</v>
      </c>
      <c r="I15" s="1">
        <v>6.5658590000000003E-2</v>
      </c>
      <c r="J15" s="2">
        <v>-2.37999E+16</v>
      </c>
      <c r="K15" s="1">
        <v>0</v>
      </c>
      <c r="L15" s="2">
        <v>-1.351081E+16</v>
      </c>
      <c r="M15" s="1">
        <v>0</v>
      </c>
    </row>
    <row r="16" spans="1:13" x14ac:dyDescent="0.25">
      <c r="A16">
        <v>15</v>
      </c>
      <c r="B16" s="1">
        <v>-9.630841E+17</v>
      </c>
      <c r="C16" s="1">
        <v>1.311274E+18</v>
      </c>
      <c r="D16" s="1">
        <v>-1.901933E+18</v>
      </c>
      <c r="E16" s="1">
        <v>1.323464E+18</v>
      </c>
      <c r="F16" s="1">
        <v>2.131872E+18</v>
      </c>
      <c r="G16" s="1">
        <v>1.03044E+18</v>
      </c>
      <c r="H16" s="1">
        <v>-1.345735E-2</v>
      </c>
      <c r="I16" s="1">
        <v>5.3954750000000003E-2</v>
      </c>
      <c r="J16" s="2">
        <v>-9.630841E+17</v>
      </c>
      <c r="K16" s="1">
        <v>0</v>
      </c>
      <c r="L16" s="2">
        <v>-1.901933E+18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5.1890300000000003E-4</v>
      </c>
      <c r="B20" s="10">
        <f>C3</f>
        <v>7.5040020000000001E-6</v>
      </c>
      <c r="C20" s="11">
        <f>B2/B3/0.000001</f>
        <v>-50533.413759411684</v>
      </c>
      <c r="D20" s="12">
        <f>C2/B3/0.000001</f>
        <v>343.77253552205326</v>
      </c>
      <c r="E20" s="11">
        <f>D2/B3/0.000001</f>
        <v>4952.4689585529468</v>
      </c>
      <c r="F20" s="11">
        <f>E2/B3/0.000001</f>
        <v>367.57062495302591</v>
      </c>
      <c r="G20" s="10">
        <f>H3</f>
        <v>-5.1963290000000002E-2</v>
      </c>
      <c r="H20" s="10">
        <f>I3</f>
        <v>3.9673449999999999E-2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-0.42184027281036696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0.11948022453696612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-0.40000926084038324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5.5690121030269317E-2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-0.37618003329300653</v>
      </c>
      <c r="C25" s="20">
        <f t="shared" si="1"/>
        <v>1.988335373092235E-2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-0.35119675642129694</v>
      </c>
      <c r="C26" s="20">
        <f t="shared" si="1"/>
        <v>5.5823015553982814E-4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-0.3256349941182104</v>
      </c>
      <c r="C27" s="20">
        <f t="shared" si="1"/>
        <v>-9.2378648407489151E-3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-0.29988459461603323</v>
      </c>
      <c r="C28" s="20">
        <f t="shared" si="1"/>
        <v>-1.3649489843376097E-2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-0.27420026397118213</v>
      </c>
      <c r="C29" s="20">
        <f t="shared" si="1"/>
        <v>-1.5108504067680079E-2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-0.24873697287063612</v>
      </c>
      <c r="C30" s="20">
        <f t="shared" si="1"/>
        <v>-1.5014022732079437E-2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-0.22357777071577958</v>
      </c>
      <c r="C31" s="20">
        <f t="shared" si="1"/>
        <v>-1.4149548690004808E-2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-0.19875666325867275</v>
      </c>
      <c r="C32" s="20">
        <f t="shared" si="1"/>
        <v>-1.2936313532526828E-2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-0.17427711885268032</v>
      </c>
      <c r="C33" s="20">
        <f t="shared" si="1"/>
        <v>-1.1585826748465358E-2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-0.15012622100358822</v>
      </c>
      <c r="C34" s="20">
        <f t="shared" si="1"/>
        <v>-1.0190982645160126E-2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-0.1262846336002845</v>
      </c>
      <c r="C35" s="20">
        <f t="shared" si="1"/>
        <v>-8.7799411936018666E-3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-0.10273287767675278</v>
      </c>
      <c r="C36" s="20">
        <f t="shared" si="1"/>
        <v>-7.347537288919989E-3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-7.9454670174893743E-2</v>
      </c>
      <c r="C37" s="20">
        <f t="shared" si="1"/>
        <v>-5.8731621991236259E-3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-5.6438152692668914E-2</v>
      </c>
      <c r="C38" s="20">
        <f t="shared" si="1"/>
        <v>-4.3305213334556957E-3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-3.3675755042711489E-2</v>
      </c>
      <c r="C39" s="20">
        <f t="shared" si="1"/>
        <v>-2.6925063456745874E-3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-1.1163261564726292E-2</v>
      </c>
      <c r="C40" s="20">
        <f t="shared" si="1"/>
        <v>-9.3307588963499437E-4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1.1101543589735389E-2</v>
      </c>
      <c r="C41" s="20">
        <f t="shared" si="1"/>
        <v>9.7279965842583848E-4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3.3120421780190597E-2</v>
      </c>
      <c r="C42" s="20">
        <f t="shared" si="1"/>
        <v>3.0505830788813549E-3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5.4896261082974199E-2</v>
      </c>
      <c r="C43" s="20">
        <f t="shared" si="1"/>
        <v>5.3287359561413322E-3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7.6434563584098225E-2</v>
      </c>
      <c r="C44" s="20">
        <f t="shared" si="1"/>
        <v>7.8422502657033277E-3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9.7744741345634115E-2</v>
      </c>
      <c r="C45" s="20">
        <f t="shared" si="1"/>
        <v>1.0636999783699174E-2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0.11884124437636504</v>
      </c>
      <c r="C46" s="20">
        <f t="shared" si="1"/>
        <v>1.3774716478596682E-2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0.13974482889492623</v>
      </c>
      <c r="C47" s="20">
        <f t="shared" si="1"/>
        <v>1.7338304414995693E-2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0.1604847548311511</v>
      </c>
      <c r="C48" s="20">
        <f t="shared" si="1"/>
        <v>2.1436999654793801E-2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0.18110331412851949</v>
      </c>
      <c r="C49" s="20">
        <f t="shared" si="1"/>
        <v>2.6210351104585285E-2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0.20166461459936966</v>
      </c>
      <c r="C50" s="20">
        <f t="shared" si="1"/>
        <v>3.1828673229373293E-2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0.22226952483116186</v>
      </c>
      <c r="C51" s="20">
        <f t="shared" si="1"/>
        <v>3.8484687927762939E-2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0.24307735377197998</v>
      </c>
      <c r="C52" s="20">
        <f t="shared" si="1"/>
        <v>4.6365214432675605E-2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0.26433100970862589</v>
      </c>
      <c r="C53" s="20">
        <f t="shared" si="1"/>
        <v>5.5581010720811383E-2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0.28637435005969802</v>
      </c>
      <c r="C54" s="20">
        <f t="shared" si="1"/>
        <v>6.601440485578422E-2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0.30963584529692662</v>
      </c>
      <c r="C55" s="20">
        <f t="shared" si="1"/>
        <v>7.7014320167129113E-2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0.33452841206343725</v>
      </c>
      <c r="C56" s="20">
        <f t="shared" si="1"/>
        <v>8.6821558035471258E-2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0.36117727866292604</v>
      </c>
      <c r="C57" s="20">
        <f t="shared" si="1"/>
        <v>9.1537091687918945E-2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0.38883091395773811</v>
      </c>
      <c r="C58" s="20">
        <f t="shared" si="1"/>
        <v>8.3344175755250507E-2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A20" sqref="A20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-2.6324449999999998E-5</v>
      </c>
      <c r="C2" s="1">
        <v>6.3260309999999998E-8</v>
      </c>
      <c r="D2" s="1">
        <v>2.4535560000000002E-6</v>
      </c>
      <c r="E2" s="1">
        <v>3.0459899999999999E-7</v>
      </c>
      <c r="F2" s="1">
        <v>2.6438550000000001E-5</v>
      </c>
      <c r="G2" s="1">
        <v>6.8727939999999999E-8</v>
      </c>
      <c r="H2" s="1">
        <v>-9.2825400000000002E-2</v>
      </c>
      <c r="I2" s="1">
        <v>4.282292E-2</v>
      </c>
      <c r="J2" s="2">
        <v>-2.6324449999999998E-5</v>
      </c>
      <c r="K2" s="1">
        <v>0</v>
      </c>
      <c r="L2" s="2">
        <v>2.4535560000000002E-6</v>
      </c>
      <c r="M2" s="1">
        <v>0</v>
      </c>
    </row>
    <row r="3" spans="1:13" x14ac:dyDescent="0.25">
      <c r="A3">
        <v>2</v>
      </c>
      <c r="B3" s="1">
        <v>5.3250200000000002E-4</v>
      </c>
      <c r="C3" s="1">
        <v>5.0684919999999996E-6</v>
      </c>
      <c r="D3" s="1">
        <v>-6.1954769999999996E-5</v>
      </c>
      <c r="E3" s="1">
        <v>1.4832740000000001E-5</v>
      </c>
      <c r="F3" s="1">
        <v>5.3609399999999998E-4</v>
      </c>
      <c r="G3" s="1">
        <v>4.8577119999999996E-6</v>
      </c>
      <c r="H3" s="1">
        <v>-5.7789979999999998E-2</v>
      </c>
      <c r="I3" s="1">
        <v>5.175457E-2</v>
      </c>
      <c r="J3" s="2">
        <v>5.3250200000000002E-4</v>
      </c>
      <c r="K3" s="1">
        <v>0</v>
      </c>
      <c r="L3" s="2">
        <v>-6.1954769999999996E-5</v>
      </c>
      <c r="M3" s="1">
        <v>0</v>
      </c>
    </row>
    <row r="4" spans="1:13" x14ac:dyDescent="0.25">
      <c r="A4">
        <v>3</v>
      </c>
      <c r="B4" s="1">
        <v>1.1766499999999999E-2</v>
      </c>
      <c r="C4" s="1">
        <v>2.518636E-4</v>
      </c>
      <c r="D4" s="1">
        <v>6.7712809999999997E-4</v>
      </c>
      <c r="E4" s="1">
        <v>8.692986E-4</v>
      </c>
      <c r="F4" s="1">
        <v>1.178596E-2</v>
      </c>
      <c r="G4" s="1">
        <v>1.9359299999999999E-4</v>
      </c>
      <c r="H4" s="1">
        <v>1.8913389999999999E-2</v>
      </c>
      <c r="I4" s="1">
        <v>9.2122410000000002E-2</v>
      </c>
      <c r="J4" s="2">
        <v>1.1766499999999999E-2</v>
      </c>
      <c r="K4" s="1">
        <v>0</v>
      </c>
      <c r="L4" s="2">
        <v>6.7712809999999997E-4</v>
      </c>
      <c r="M4" s="1">
        <v>0</v>
      </c>
    </row>
    <row r="5" spans="1:13" x14ac:dyDescent="0.25">
      <c r="A5">
        <v>4</v>
      </c>
      <c r="B5" s="1">
        <v>-6.1634719999999997E-2</v>
      </c>
      <c r="C5" s="1">
        <v>2.9213880000000001E-2</v>
      </c>
      <c r="D5" s="1">
        <v>3.4558800000000001E-3</v>
      </c>
      <c r="E5" s="1">
        <v>4.4419189999999997E-2</v>
      </c>
      <c r="F5" s="1">
        <v>6.173153E-2</v>
      </c>
      <c r="G5" s="1">
        <v>2.977612E-2</v>
      </c>
      <c r="H5" s="1">
        <v>5.6052770000000002E-2</v>
      </c>
      <c r="I5" s="1">
        <v>0.25830439999999999</v>
      </c>
      <c r="J5" s="2">
        <v>-6.1634719999999997E-2</v>
      </c>
      <c r="K5" s="1">
        <v>0</v>
      </c>
      <c r="L5" s="2">
        <v>3.4558800000000001E-3</v>
      </c>
      <c r="M5" s="1">
        <v>0</v>
      </c>
    </row>
    <row r="6" spans="1:13" x14ac:dyDescent="0.25">
      <c r="A6">
        <v>5</v>
      </c>
      <c r="B6" s="1">
        <v>0.89483919999999995</v>
      </c>
      <c r="C6" s="1">
        <v>2.0017510000000001</v>
      </c>
      <c r="D6" s="1">
        <v>-3.720961</v>
      </c>
      <c r="E6" s="1">
        <v>2.517903</v>
      </c>
      <c r="F6" s="1">
        <v>3.8270469999999999</v>
      </c>
      <c r="G6" s="1">
        <v>1.1514789999999999</v>
      </c>
      <c r="H6" s="1">
        <v>-4.7347350000000003E-2</v>
      </c>
      <c r="I6" s="1">
        <v>0.1767541</v>
      </c>
      <c r="J6" s="2">
        <v>0.89483919999999995</v>
      </c>
      <c r="K6" s="1">
        <v>0</v>
      </c>
      <c r="L6" s="2">
        <v>-3.720961</v>
      </c>
      <c r="M6" s="1">
        <v>0</v>
      </c>
    </row>
    <row r="7" spans="1:13" x14ac:dyDescent="0.25">
      <c r="A7">
        <v>6</v>
      </c>
      <c r="B7" s="1">
        <v>152.60480000000001</v>
      </c>
      <c r="C7" s="1">
        <v>114.1617</v>
      </c>
      <c r="D7" s="1">
        <v>29.475190000000001</v>
      </c>
      <c r="E7" s="1">
        <v>189.24860000000001</v>
      </c>
      <c r="F7" s="1">
        <v>155.42529999999999</v>
      </c>
      <c r="G7" s="1">
        <v>78.047160000000005</v>
      </c>
      <c r="H7" s="1">
        <v>-2.5082380000000001E-2</v>
      </c>
      <c r="I7" s="1">
        <v>0.15955169999999999</v>
      </c>
      <c r="J7" s="2">
        <v>152.60480000000001</v>
      </c>
      <c r="K7" s="1">
        <v>0</v>
      </c>
      <c r="L7" s="2">
        <v>29.475190000000001</v>
      </c>
      <c r="M7" s="1">
        <v>0</v>
      </c>
    </row>
    <row r="8" spans="1:13" x14ac:dyDescent="0.25">
      <c r="A8">
        <v>7</v>
      </c>
      <c r="B8" s="1">
        <v>5670.1139999999996</v>
      </c>
      <c r="C8" s="1">
        <v>5900.7160000000003</v>
      </c>
      <c r="D8" s="1">
        <v>1700.153</v>
      </c>
      <c r="E8" s="1">
        <v>8575.7060000000001</v>
      </c>
      <c r="F8" s="1">
        <v>5919.5190000000002</v>
      </c>
      <c r="G8" s="1">
        <v>4515.2380000000003</v>
      </c>
      <c r="H8" s="1">
        <v>6.8803020000000006E-2</v>
      </c>
      <c r="I8" s="1">
        <v>0.1325442</v>
      </c>
      <c r="J8" s="2">
        <v>5670.1139999999996</v>
      </c>
      <c r="K8" s="1">
        <v>0</v>
      </c>
      <c r="L8" s="2">
        <v>1700.153</v>
      </c>
      <c r="M8" s="1">
        <v>0</v>
      </c>
    </row>
    <row r="9" spans="1:13" x14ac:dyDescent="0.25">
      <c r="A9">
        <v>8</v>
      </c>
      <c r="B9" s="1">
        <v>-304058.40000000002</v>
      </c>
      <c r="C9" s="1">
        <v>550937.5</v>
      </c>
      <c r="D9" s="1">
        <v>-251122.2</v>
      </c>
      <c r="E9" s="1">
        <v>697941.6</v>
      </c>
      <c r="F9" s="1">
        <v>394352.4</v>
      </c>
      <c r="G9" s="1">
        <v>324328.90000000002</v>
      </c>
      <c r="H9" s="1">
        <v>2.8828090000000001E-2</v>
      </c>
      <c r="I9" s="1">
        <v>0.1054456</v>
      </c>
      <c r="J9" s="2">
        <v>-304058.40000000002</v>
      </c>
      <c r="K9" s="1">
        <v>0</v>
      </c>
      <c r="L9" s="2">
        <v>-251122.2</v>
      </c>
      <c r="M9" s="1">
        <v>0</v>
      </c>
    </row>
    <row r="10" spans="1:13" x14ac:dyDescent="0.25">
      <c r="A10">
        <v>9</v>
      </c>
      <c r="B10" s="1">
        <v>-16643680</v>
      </c>
      <c r="C10" s="1">
        <v>32192420</v>
      </c>
      <c r="D10" s="1">
        <v>-26818490</v>
      </c>
      <c r="E10" s="1">
        <v>35420200</v>
      </c>
      <c r="F10" s="1">
        <v>31563320</v>
      </c>
      <c r="G10" s="1">
        <v>16557930</v>
      </c>
      <c r="H10" s="1">
        <v>1.122212E-2</v>
      </c>
      <c r="I10" s="1">
        <v>9.1928190000000007E-2</v>
      </c>
      <c r="J10" s="2">
        <v>-16643680</v>
      </c>
      <c r="K10" s="1">
        <v>0</v>
      </c>
      <c r="L10" s="2">
        <v>-26818490</v>
      </c>
      <c r="M10" s="1">
        <v>0</v>
      </c>
    </row>
    <row r="11" spans="1:13" x14ac:dyDescent="0.25">
      <c r="A11">
        <v>10</v>
      </c>
      <c r="B11" s="1">
        <v>902737100</v>
      </c>
      <c r="C11" s="1">
        <v>1726391000</v>
      </c>
      <c r="D11" s="1">
        <v>2152223000</v>
      </c>
      <c r="E11" s="1">
        <v>2521404000</v>
      </c>
      <c r="F11" s="1">
        <v>2333881000</v>
      </c>
      <c r="G11" s="1">
        <v>1194424000</v>
      </c>
      <c r="H11" s="1">
        <v>1.6265499999999999E-2</v>
      </c>
      <c r="I11" s="1">
        <v>9.9447569999999999E-2</v>
      </c>
      <c r="J11" s="2">
        <v>902737100</v>
      </c>
      <c r="K11" s="1">
        <v>0</v>
      </c>
      <c r="L11" s="2">
        <v>2152223000</v>
      </c>
      <c r="M11" s="1">
        <v>0</v>
      </c>
    </row>
    <row r="12" spans="1:13" x14ac:dyDescent="0.25">
      <c r="A12">
        <v>11</v>
      </c>
      <c r="B12" s="1">
        <v>-3710285000</v>
      </c>
      <c r="C12" s="1">
        <v>79259020000</v>
      </c>
      <c r="D12" s="1">
        <v>-142549000000</v>
      </c>
      <c r="E12" s="1">
        <v>65019150000</v>
      </c>
      <c r="F12" s="1">
        <v>142597300000</v>
      </c>
      <c r="G12" s="1">
        <v>41926370000</v>
      </c>
      <c r="H12" s="1">
        <v>-1.495905E-2</v>
      </c>
      <c r="I12" s="1">
        <v>8.6915199999999998E-2</v>
      </c>
      <c r="J12" s="2">
        <v>-3710285000</v>
      </c>
      <c r="K12" s="1">
        <v>0</v>
      </c>
      <c r="L12" s="2">
        <v>-142549000000</v>
      </c>
      <c r="M12" s="1">
        <v>0</v>
      </c>
    </row>
    <row r="13" spans="1:13" x14ac:dyDescent="0.25">
      <c r="A13">
        <v>12</v>
      </c>
      <c r="B13" s="1">
        <v>370778400000</v>
      </c>
      <c r="C13" s="1">
        <v>7476725000000</v>
      </c>
      <c r="D13" s="1">
        <v>8447432000000</v>
      </c>
      <c r="E13" s="1">
        <v>9131264000000</v>
      </c>
      <c r="F13" s="1">
        <v>8455565000000</v>
      </c>
      <c r="G13" s="1">
        <v>5778155000000</v>
      </c>
      <c r="H13" s="1">
        <v>3.0390589999999999E-2</v>
      </c>
      <c r="I13" s="1">
        <v>7.1975499999999998E-2</v>
      </c>
      <c r="J13" s="2">
        <v>370778400000</v>
      </c>
      <c r="K13" s="1">
        <v>0</v>
      </c>
      <c r="L13" s="2">
        <v>8447432000000</v>
      </c>
      <c r="M13" s="1">
        <v>0</v>
      </c>
    </row>
    <row r="14" spans="1:13" x14ac:dyDescent="0.25">
      <c r="A14">
        <v>13</v>
      </c>
      <c r="B14" s="1">
        <v>529345800000000</v>
      </c>
      <c r="C14" s="1">
        <v>365945200000000</v>
      </c>
      <c r="D14" s="1">
        <v>127904800000000</v>
      </c>
      <c r="E14" s="1">
        <v>469488100000000</v>
      </c>
      <c r="F14" s="1">
        <v>544579300000000</v>
      </c>
      <c r="G14" s="1">
        <v>223917500000000</v>
      </c>
      <c r="H14" s="1">
        <v>-4.5591890000000003E-2</v>
      </c>
      <c r="I14" s="1">
        <v>6.203678E-2</v>
      </c>
      <c r="J14" s="2">
        <v>529345800000000</v>
      </c>
      <c r="K14" s="1">
        <v>0</v>
      </c>
      <c r="L14" s="2">
        <v>127904800000000</v>
      </c>
      <c r="M14" s="1">
        <v>0</v>
      </c>
    </row>
    <row r="15" spans="1:13" x14ac:dyDescent="0.25">
      <c r="A15">
        <v>14</v>
      </c>
      <c r="B15" s="1">
        <v>1.660466E+16</v>
      </c>
      <c r="C15" s="1">
        <v>2.106865E+16</v>
      </c>
      <c r="D15" s="1">
        <v>1.629671E+16</v>
      </c>
      <c r="E15" s="1">
        <v>3.123566E+16</v>
      </c>
      <c r="F15" s="1">
        <v>2.32658E+16</v>
      </c>
      <c r="G15" s="1">
        <v>1.669615E+16</v>
      </c>
      <c r="H15" s="1">
        <v>1.5935939999999999E-2</v>
      </c>
      <c r="I15" s="1">
        <v>7.1568069999999998E-2</v>
      </c>
      <c r="J15" s="2">
        <v>1.660466E+16</v>
      </c>
      <c r="K15" s="1">
        <v>0</v>
      </c>
      <c r="L15" s="2">
        <v>1.629671E+16</v>
      </c>
      <c r="M15" s="1">
        <v>0</v>
      </c>
    </row>
    <row r="16" spans="1:13" x14ac:dyDescent="0.25">
      <c r="A16">
        <v>15</v>
      </c>
      <c r="B16" s="1">
        <v>-1.465253E+18</v>
      </c>
      <c r="C16" s="1">
        <v>1.256954E+18</v>
      </c>
      <c r="D16" s="1">
        <v>-2.241102E+18</v>
      </c>
      <c r="E16" s="1">
        <v>1.567685E+18</v>
      </c>
      <c r="F16" s="1">
        <v>2.677593E+18</v>
      </c>
      <c r="G16" s="1">
        <v>1.044127E+18</v>
      </c>
      <c r="H16" s="1">
        <v>-1.3946139999999999E-2</v>
      </c>
      <c r="I16" s="1">
        <v>5.842688E-2</v>
      </c>
      <c r="J16" s="2">
        <v>-1.465253E+18</v>
      </c>
      <c r="K16" s="1">
        <v>0</v>
      </c>
      <c r="L16" s="2">
        <v>-2.241102E+18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5.3250200000000002E-4</v>
      </c>
      <c r="B20" s="10">
        <f>C3</f>
        <v>5.0684919999999996E-6</v>
      </c>
      <c r="C20" s="11">
        <f>B2/B3/0.000001</f>
        <v>-49435.401181591806</v>
      </c>
      <c r="D20" s="12">
        <f>C2/B3/0.000001</f>
        <v>118.79825803471159</v>
      </c>
      <c r="E20" s="11">
        <f>D2/B3/0.000001</f>
        <v>4607.5995958700632</v>
      </c>
      <c r="F20" s="11">
        <f>E2/B3/0.000001</f>
        <v>572.0147529962328</v>
      </c>
      <c r="G20" s="10">
        <f>H3</f>
        <v>-5.7789979999999998E-2</v>
      </c>
      <c r="H20" s="10">
        <f>I3</f>
        <v>5.175457E-2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-0.38598344032560467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0.22308826665916226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-0.37891227640487096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0.12463404490114398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-0.36231813401487295</v>
      </c>
      <c r="C25" s="20">
        <f t="shared" si="1"/>
        <v>6.7931223853912912E-2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-0.3410970042835213</v>
      </c>
      <c r="C26" s="20">
        <f t="shared" si="1"/>
        <v>3.5518199843264195E-2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-0.31777208964276638</v>
      </c>
      <c r="C27" s="20">
        <f t="shared" si="1"/>
        <v>1.7063562812770144E-2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-0.29359171982884946</v>
      </c>
      <c r="C28" s="20">
        <f t="shared" si="1"/>
        <v>6.5587047305376888E-3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-0.26914815960636623</v>
      </c>
      <c r="C29" s="20">
        <f t="shared" si="1"/>
        <v>5.6792658472215932E-4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-0.24471138437994872</v>
      </c>
      <c r="C30" s="20">
        <f t="shared" si="1"/>
        <v>-2.8410501335195586E-3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-0.22040050963110361</v>
      </c>
      <c r="C31" s="20">
        <f t="shared" si="1"/>
        <v>-4.7382338016075751E-3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-0.19626731431531447</v>
      </c>
      <c r="C32" s="20">
        <f t="shared" si="1"/>
        <v>-5.708704314158191E-3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-0.1723348504404463</v>
      </c>
      <c r="C33" s="20">
        <f t="shared" si="1"/>
        <v>-6.0708727745016631E-3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-0.14861451558082442</v>
      </c>
      <c r="C34" s="20">
        <f t="shared" si="1"/>
        <v>-6.0006262791282078E-3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-0.12511338573241979</v>
      </c>
      <c r="C35" s="20">
        <f t="shared" si="1"/>
        <v>-5.6006659609491097E-3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-0.1018372406162394</v>
      </c>
      <c r="C36" s="20">
        <f t="shared" si="1"/>
        <v>-4.9383056734886455E-3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-7.8791536770452128E-2</v>
      </c>
      <c r="C37" s="20">
        <f t="shared" si="1"/>
        <v>-4.0652890334084441E-3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-5.5981205986714341E-2</v>
      </c>
      <c r="C38" s="20">
        <f t="shared" si="1"/>
        <v>-3.0274753411740096E-3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-3.3409680815684462E-2</v>
      </c>
      <c r="C39" s="20">
        <f t="shared" si="1"/>
        <v>-1.8689586332341233E-3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-1.1077444176563346E-2</v>
      </c>
      <c r="C40" s="20">
        <f t="shared" si="1"/>
        <v>-6.3329935758170495E-4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1.1019607222158256E-2</v>
      </c>
      <c r="C41" s="20">
        <f t="shared" si="1"/>
        <v>6.3655120746775365E-4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3.2891714691780941E-2</v>
      </c>
      <c r="C42" s="20">
        <f t="shared" si="1"/>
        <v>1.8987130505280572E-3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5.4556502507611869E-2</v>
      </c>
      <c r="C43" s="20">
        <f t="shared" si="1"/>
        <v>3.1127057479801643E-3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7.603975925450572E-2</v>
      </c>
      <c r="C44" s="20">
        <f t="shared" si="1"/>
        <v>4.2393611386994197E-3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9.7375675401244755E-2</v>
      </c>
      <c r="C45" s="20">
        <f t="shared" si="1"/>
        <v>5.2401815986119005E-3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0.11860657122373412</v>
      </c>
      <c r="C46" s="20">
        <f t="shared" si="1"/>
        <v>6.0761172642097468E-3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0.13978236594732443</v>
      </c>
      <c r="C47" s="20">
        <f t="shared" si="1"/>
        <v>6.7058800715607512E-3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0.16096045034417805</v>
      </c>
      <c r="C48" s="20">
        <f t="shared" si="1"/>
        <v>7.0841273162009994E-3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0.1822073226906257</v>
      </c>
      <c r="C49" s="20">
        <f t="shared" si="1"/>
        <v>7.1600941287760893E-3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0.20360437814646198</v>
      </c>
      <c r="C50" s="20">
        <f t="shared" si="1"/>
        <v>6.8773408866804634E-3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0.22526154277511903</v>
      </c>
      <c r="C51" s="20">
        <f t="shared" si="1"/>
        <v>6.1747595115896467E-3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0.24734376711671349</v>
      </c>
      <c r="C52" s="20">
        <f t="shared" si="1"/>
        <v>4.9870170078698392E-3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0.27011620857730972</v>
      </c>
      <c r="C53" s="20">
        <f t="shared" si="1"/>
        <v>3.2378287639471368E-3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0.29401330804329612</v>
      </c>
      <c r="C54" s="20">
        <f t="shared" si="1"/>
        <v>8.097475751183093E-4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0.31973344751222643</v>
      </c>
      <c r="C55" s="20">
        <f t="shared" si="1"/>
        <v>-2.5435053218445039E-3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0.34835233005881389</v>
      </c>
      <c r="C56" s="20">
        <f t="shared" si="1"/>
        <v>-7.4059522486197875E-3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0.38143167852433502</v>
      </c>
      <c r="C57" s="20">
        <f t="shared" si="1"/>
        <v>-1.5140887441809659E-2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0.42107130970568962</v>
      </c>
      <c r="C58" s="20">
        <f t="shared" si="1"/>
        <v>-2.8749099003070509E-2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28" workbookViewId="0">
      <selection activeCell="B5" sqref="B5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-2.6721210000000002E-5</v>
      </c>
      <c r="C2" s="1">
        <v>1.983321E-7</v>
      </c>
      <c r="D2" s="1">
        <v>2.7979450000000001E-6</v>
      </c>
      <c r="E2" s="1">
        <v>2.9594619999999998E-7</v>
      </c>
      <c r="F2" s="1">
        <v>2.6867289999999999E-5</v>
      </c>
      <c r="G2" s="1">
        <v>1.9832080000000001E-7</v>
      </c>
      <c r="H2" s="1">
        <v>-0.1043408</v>
      </c>
      <c r="I2" s="1">
        <v>4.1058780000000003E-2</v>
      </c>
      <c r="J2" s="2">
        <v>-2.6721210000000002E-5</v>
      </c>
      <c r="K2" s="1">
        <v>0</v>
      </c>
      <c r="L2" s="2">
        <v>2.7979450000000001E-6</v>
      </c>
      <c r="M2" s="1">
        <v>0</v>
      </c>
    </row>
    <row r="3" spans="1:13" x14ac:dyDescent="0.25">
      <c r="A3">
        <v>2</v>
      </c>
      <c r="B3" s="1">
        <v>6.2616189999999995E-4</v>
      </c>
      <c r="C3" s="1">
        <v>6.9952030000000003E-6</v>
      </c>
      <c r="D3" s="1">
        <v>-3.0910520000000003E-5</v>
      </c>
      <c r="E3" s="1">
        <v>1.641638E-5</v>
      </c>
      <c r="F3" s="1">
        <v>6.2692430000000005E-4</v>
      </c>
      <c r="G3" s="1">
        <v>7.2245720000000003E-6</v>
      </c>
      <c r="H3" s="1">
        <v>-2.3829449999999999E-2</v>
      </c>
      <c r="I3" s="1">
        <v>4.8640559999999999E-2</v>
      </c>
      <c r="J3" s="2">
        <v>6.2616189999999995E-4</v>
      </c>
      <c r="K3" s="1">
        <v>0</v>
      </c>
      <c r="L3" s="2">
        <v>-3.0910520000000003E-5</v>
      </c>
      <c r="M3" s="1">
        <v>0</v>
      </c>
    </row>
    <row r="4" spans="1:13" x14ac:dyDescent="0.25">
      <c r="A4">
        <v>3</v>
      </c>
      <c r="B4" s="1">
        <v>1.252736E-2</v>
      </c>
      <c r="C4" s="1">
        <v>4.4613610000000001E-4</v>
      </c>
      <c r="D4" s="1">
        <v>5.9843570000000005E-4</v>
      </c>
      <c r="E4" s="1">
        <v>1.128228E-3</v>
      </c>
      <c r="F4" s="1">
        <v>1.254165E-2</v>
      </c>
      <c r="G4" s="1">
        <v>5.4696759999999997E-4</v>
      </c>
      <c r="H4" s="1">
        <v>2.0733479999999999E-2</v>
      </c>
      <c r="I4" s="1">
        <v>9.8775349999999998E-2</v>
      </c>
      <c r="J4" s="2">
        <v>1.252736E-2</v>
      </c>
      <c r="K4" s="1">
        <v>0</v>
      </c>
      <c r="L4" s="2">
        <v>5.9843570000000005E-4</v>
      </c>
      <c r="M4" s="1">
        <v>0</v>
      </c>
    </row>
    <row r="5" spans="1:13" x14ac:dyDescent="0.25">
      <c r="A5">
        <v>4</v>
      </c>
      <c r="B5" s="1">
        <v>-7.0375809999999997E-2</v>
      </c>
      <c r="C5" s="1">
        <v>2.9605780000000002E-2</v>
      </c>
      <c r="D5" s="1">
        <v>4.7538579999999997E-2</v>
      </c>
      <c r="E5" s="1">
        <v>5.6010820000000003E-2</v>
      </c>
      <c r="F5" s="1">
        <v>8.4927450000000002E-2</v>
      </c>
      <c r="G5" s="1">
        <v>2.6573369999999999E-2</v>
      </c>
      <c r="H5" s="1">
        <v>-9.4002580000000002E-2</v>
      </c>
      <c r="I5" s="1">
        <v>0.2436266</v>
      </c>
      <c r="J5" s="2">
        <v>-7.0375809999999997E-2</v>
      </c>
      <c r="K5" s="1">
        <v>0</v>
      </c>
      <c r="L5" s="2">
        <v>4.7538579999999997E-2</v>
      </c>
      <c r="M5" s="1">
        <v>0</v>
      </c>
    </row>
    <row r="6" spans="1:13" x14ac:dyDescent="0.25">
      <c r="A6">
        <v>5</v>
      </c>
      <c r="B6" s="1">
        <v>0.12933610000000001</v>
      </c>
      <c r="C6" s="1">
        <v>2.211068</v>
      </c>
      <c r="D6" s="1">
        <v>-0.41784900000000003</v>
      </c>
      <c r="E6" s="1">
        <v>2.8195250000000001</v>
      </c>
      <c r="F6" s="1">
        <v>0.43740780000000001</v>
      </c>
      <c r="G6" s="1">
        <v>1.664976</v>
      </c>
      <c r="H6" s="1">
        <v>-1.5567279999999999E-2</v>
      </c>
      <c r="I6" s="1">
        <v>0.1800252</v>
      </c>
      <c r="J6" s="2">
        <v>0.12933610000000001</v>
      </c>
      <c r="K6" s="1">
        <v>0</v>
      </c>
      <c r="L6" s="2">
        <v>-0.41784900000000003</v>
      </c>
      <c r="M6" s="1">
        <v>0</v>
      </c>
    </row>
    <row r="7" spans="1:13" x14ac:dyDescent="0.25">
      <c r="A7">
        <v>6</v>
      </c>
      <c r="B7" s="1">
        <v>-76.825310000000002</v>
      </c>
      <c r="C7" s="1">
        <v>116.17789999999999</v>
      </c>
      <c r="D7" s="1">
        <v>223.6003</v>
      </c>
      <c r="E7" s="1">
        <v>218.81909999999999</v>
      </c>
      <c r="F7" s="1">
        <v>236.43020000000001</v>
      </c>
      <c r="G7" s="1">
        <v>127.646</v>
      </c>
      <c r="H7" s="1">
        <v>-3.6946819999999998E-2</v>
      </c>
      <c r="I7" s="1">
        <v>0.18363979999999999</v>
      </c>
      <c r="J7" s="2">
        <v>-76.825310000000002</v>
      </c>
      <c r="K7" s="1">
        <v>0</v>
      </c>
      <c r="L7" s="2">
        <v>223.6003</v>
      </c>
      <c r="M7" s="1">
        <v>0</v>
      </c>
    </row>
    <row r="8" spans="1:13" x14ac:dyDescent="0.25">
      <c r="A8">
        <v>7</v>
      </c>
      <c r="B8" s="1">
        <v>-3764.3110000000001</v>
      </c>
      <c r="C8" s="1">
        <v>9466.9879999999994</v>
      </c>
      <c r="D8" s="1">
        <v>5066.6099999999997</v>
      </c>
      <c r="E8" s="1">
        <v>13323.01</v>
      </c>
      <c r="F8" s="1">
        <v>6311.9390000000003</v>
      </c>
      <c r="G8" s="1">
        <v>5611.1390000000001</v>
      </c>
      <c r="H8" s="1">
        <v>1.151336E-2</v>
      </c>
      <c r="I8" s="1">
        <v>0.14004130000000001</v>
      </c>
      <c r="J8" s="2">
        <v>-3764.3110000000001</v>
      </c>
      <c r="K8" s="1">
        <v>0</v>
      </c>
      <c r="L8" s="2">
        <v>5066.6099999999997</v>
      </c>
      <c r="M8" s="1">
        <v>0</v>
      </c>
    </row>
    <row r="9" spans="1:13" x14ac:dyDescent="0.25">
      <c r="A9">
        <v>8</v>
      </c>
      <c r="B9" s="1">
        <v>-871173.3</v>
      </c>
      <c r="C9" s="1">
        <v>500225.1</v>
      </c>
      <c r="D9" s="1">
        <v>338542.5</v>
      </c>
      <c r="E9" s="1">
        <v>634561.80000000005</v>
      </c>
      <c r="F9" s="1">
        <v>934641.1</v>
      </c>
      <c r="G9" s="1">
        <v>259619.4</v>
      </c>
      <c r="H9" s="1">
        <v>1.926431E-2</v>
      </c>
      <c r="I9" s="1">
        <v>0.11128010000000001</v>
      </c>
      <c r="J9" s="2">
        <v>-871173.3</v>
      </c>
      <c r="K9" s="1">
        <v>0</v>
      </c>
      <c r="L9" s="2">
        <v>338542.5</v>
      </c>
      <c r="M9" s="1">
        <v>0</v>
      </c>
    </row>
    <row r="10" spans="1:13" x14ac:dyDescent="0.25">
      <c r="A10">
        <v>9</v>
      </c>
      <c r="B10" s="1">
        <v>-2625538</v>
      </c>
      <c r="C10" s="1">
        <v>24241310</v>
      </c>
      <c r="D10" s="1">
        <v>-23561010</v>
      </c>
      <c r="E10" s="1">
        <v>26917800</v>
      </c>
      <c r="F10" s="1">
        <v>23706850</v>
      </c>
      <c r="G10" s="1">
        <v>16154460</v>
      </c>
      <c r="H10" s="1">
        <v>2.7095859999999999E-3</v>
      </c>
      <c r="I10" s="1">
        <v>0.1159121</v>
      </c>
      <c r="J10" s="2">
        <v>-2625538</v>
      </c>
      <c r="K10" s="1">
        <v>0</v>
      </c>
      <c r="L10" s="2">
        <v>-23561010</v>
      </c>
      <c r="M10" s="1">
        <v>0</v>
      </c>
    </row>
    <row r="11" spans="1:13" x14ac:dyDescent="0.25">
      <c r="A11">
        <v>10</v>
      </c>
      <c r="B11" s="1">
        <v>-2378342000</v>
      </c>
      <c r="C11" s="1">
        <v>1327574000</v>
      </c>
      <c r="D11" s="1">
        <v>-1183905000</v>
      </c>
      <c r="E11" s="1">
        <v>2316913000</v>
      </c>
      <c r="F11" s="1">
        <v>2656716000</v>
      </c>
      <c r="G11" s="1">
        <v>1606573000</v>
      </c>
      <c r="H11" s="1">
        <v>4.003313E-2</v>
      </c>
      <c r="I11" s="1">
        <v>9.7572640000000002E-2</v>
      </c>
      <c r="J11" s="2">
        <v>-2378342000</v>
      </c>
      <c r="K11" s="1">
        <v>0</v>
      </c>
      <c r="L11" s="2">
        <v>-1183905000</v>
      </c>
      <c r="M11" s="1">
        <v>0</v>
      </c>
    </row>
    <row r="12" spans="1:13" x14ac:dyDescent="0.25">
      <c r="A12">
        <v>11</v>
      </c>
      <c r="B12" s="1">
        <v>28774310000</v>
      </c>
      <c r="C12" s="1">
        <v>78490530000</v>
      </c>
      <c r="D12" s="1">
        <v>90044310000</v>
      </c>
      <c r="E12" s="1">
        <v>127199300000</v>
      </c>
      <c r="F12" s="1">
        <v>94530100000</v>
      </c>
      <c r="G12" s="1">
        <v>78392500000</v>
      </c>
      <c r="H12" s="1">
        <v>-8.3692790000000003E-3</v>
      </c>
      <c r="I12" s="1">
        <v>9.3359919999999999E-2</v>
      </c>
      <c r="J12" s="2">
        <v>28774310000</v>
      </c>
      <c r="K12" s="1">
        <v>0</v>
      </c>
      <c r="L12" s="2">
        <v>90044310000</v>
      </c>
      <c r="M12" s="1">
        <v>0</v>
      </c>
    </row>
    <row r="13" spans="1:13" x14ac:dyDescent="0.25">
      <c r="A13">
        <v>12</v>
      </c>
      <c r="B13" s="1">
        <v>-11811580000000</v>
      </c>
      <c r="C13" s="1">
        <v>6720568000000</v>
      </c>
      <c r="D13" s="1">
        <v>9544394000000</v>
      </c>
      <c r="E13" s="1">
        <v>7785470000000</v>
      </c>
      <c r="F13" s="1">
        <v>15185810000000</v>
      </c>
      <c r="G13" s="1">
        <v>4964543000000</v>
      </c>
      <c r="H13" s="1">
        <v>-4.5173089999999999E-2</v>
      </c>
      <c r="I13" s="1">
        <v>7.497587E-2</v>
      </c>
      <c r="J13" s="2">
        <v>-11811580000000</v>
      </c>
      <c r="K13" s="1">
        <v>0</v>
      </c>
      <c r="L13" s="2">
        <v>9544394000000</v>
      </c>
      <c r="M13" s="1">
        <v>0</v>
      </c>
    </row>
    <row r="14" spans="1:13" x14ac:dyDescent="0.25">
      <c r="A14">
        <v>13</v>
      </c>
      <c r="B14" s="1">
        <v>388818500000000</v>
      </c>
      <c r="C14" s="1">
        <v>430555000000000</v>
      </c>
      <c r="D14" s="1">
        <v>-95493380000000</v>
      </c>
      <c r="E14" s="1">
        <v>332769100000000</v>
      </c>
      <c r="F14" s="1">
        <v>400373400000000</v>
      </c>
      <c r="G14" s="1">
        <v>307725100000000</v>
      </c>
      <c r="H14" s="1">
        <v>4.231159E-3</v>
      </c>
      <c r="I14" s="1">
        <v>5.8625839999999999E-2</v>
      </c>
      <c r="J14" s="2">
        <v>388818500000000</v>
      </c>
      <c r="K14" s="1">
        <v>0</v>
      </c>
      <c r="L14" s="2">
        <v>-95493380000000</v>
      </c>
      <c r="M14" s="1">
        <v>0</v>
      </c>
    </row>
    <row r="15" spans="1:13" x14ac:dyDescent="0.25">
      <c r="A15">
        <v>14</v>
      </c>
      <c r="B15" s="1">
        <v>-5.753228E+16</v>
      </c>
      <c r="C15" s="1">
        <v>2.675706E+16</v>
      </c>
      <c r="D15" s="1">
        <v>-2.076379E+16</v>
      </c>
      <c r="E15" s="1">
        <v>2.541567E+16</v>
      </c>
      <c r="F15" s="1">
        <v>6.116452E+16</v>
      </c>
      <c r="G15" s="1">
        <v>2.067771E+16</v>
      </c>
      <c r="H15" s="1">
        <v>-1.3466590000000001E-2</v>
      </c>
      <c r="I15" s="1">
        <v>5.2963830000000003E-2</v>
      </c>
      <c r="J15" s="2">
        <v>-5.753228E+16</v>
      </c>
      <c r="K15" s="1">
        <v>0</v>
      </c>
      <c r="L15" s="2">
        <v>-2.076379E+16</v>
      </c>
      <c r="M15" s="1">
        <v>0</v>
      </c>
    </row>
    <row r="16" spans="1:13" x14ac:dyDescent="0.25">
      <c r="A16">
        <v>15</v>
      </c>
      <c r="B16" s="1">
        <v>8.126434E+17</v>
      </c>
      <c r="C16" s="1">
        <v>1.471349E+18</v>
      </c>
      <c r="D16" s="1">
        <v>2.495492E+18</v>
      </c>
      <c r="E16" s="1">
        <v>1.307291E+18</v>
      </c>
      <c r="F16" s="1">
        <v>2.624475E+18</v>
      </c>
      <c r="G16" s="1">
        <v>7.798517E+17</v>
      </c>
      <c r="H16" s="1">
        <v>2.050733E-4</v>
      </c>
      <c r="I16" s="1">
        <v>6.1190540000000002E-2</v>
      </c>
      <c r="J16" s="2">
        <v>8.126434E+17</v>
      </c>
      <c r="K16" s="1">
        <v>0</v>
      </c>
      <c r="L16" s="2">
        <v>2.495492E+18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6.2616189999999995E-4</v>
      </c>
      <c r="B20" s="10">
        <f>C3</f>
        <v>6.9952030000000003E-6</v>
      </c>
      <c r="C20" s="11">
        <f>B2/B3/0.000001</f>
        <v>-42674.602207512151</v>
      </c>
      <c r="D20" s="12">
        <f>C2/B3/0.000001</f>
        <v>316.74252298007912</v>
      </c>
      <c r="E20" s="11">
        <f>D2/B3/0.000001</f>
        <v>4468.4050562642033</v>
      </c>
      <c r="F20" s="11">
        <f>E2/B3/0.000001</f>
        <v>472.63527212371116</v>
      </c>
      <c r="G20" s="10">
        <f>H3</f>
        <v>-2.3829449999999999E-2</v>
      </c>
      <c r="H20" s="10">
        <f>I3</f>
        <v>4.8640559999999999E-2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-0.64025129776605405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-1.0657217960564245E-2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-0.50476034156107052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1.0767763514036419E-2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-0.41733597125294503</v>
      </c>
      <c r="C25" s="20">
        <f t="shared" si="1"/>
        <v>1.6980608655482784E-2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-0.35802735839560457</v>
      </c>
      <c r="C26" s="20">
        <f t="shared" si="1"/>
        <v>1.6379175710985634E-2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-0.31490164577302904</v>
      </c>
      <c r="C27" s="20">
        <f t="shared" si="1"/>
        <v>1.3221076217595501E-2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-0.28097435043377017</v>
      </c>
      <c r="C28" s="20">
        <f t="shared" si="1"/>
        <v>9.5162317534243229E-3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-0.25224409028515887</v>
      </c>
      <c r="C29" s="20">
        <f t="shared" si="1"/>
        <v>6.1149681909163315E-3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-0.22646443708536684</v>
      </c>
      <c r="C30" s="20">
        <f t="shared" si="1"/>
        <v>3.3067433951769662E-3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-0.20239617036852625</v>
      </c>
      <c r="C31" s="20">
        <f t="shared" si="1"/>
        <v>1.132796543361724E-3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-0.17936446430277392</v>
      </c>
      <c r="C32" s="20">
        <f t="shared" si="1"/>
        <v>-4.6076914125749765E-4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-0.15700409049788705</v>
      </c>
      <c r="C33" s="20">
        <f t="shared" si="1"/>
        <v>-1.5540273017678916E-3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-0.1351169336389163</v>
      </c>
      <c r="C34" s="20">
        <f t="shared" si="1"/>
        <v>-2.2256525321929788E-3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-0.11359436127069553</v>
      </c>
      <c r="C35" s="20">
        <f t="shared" si="1"/>
        <v>-2.5439829303754119E-3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-9.2375759163259741E-2</v>
      </c>
      <c r="C36" s="20">
        <f t="shared" si="1"/>
        <v>-2.5655202116055056E-3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-7.1426582625716911E-2</v>
      </c>
      <c r="C37" s="20">
        <f t="shared" si="1"/>
        <v>-2.3358596847496233E-3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-5.0726685893572501E-2</v>
      </c>
      <c r="C38" s="20">
        <f t="shared" si="1"/>
        <v>-1.8910598993806642E-3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-3.0264045713838686E-2</v>
      </c>
      <c r="C39" s="20">
        <f t="shared" si="1"/>
        <v>-1.2587539694632721E-3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-1.0031422890885735E-2</v>
      </c>
      <c r="C40" s="20">
        <f t="shared" si="1"/>
        <v>-4.5877456248743842E-4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9.9752113337687066E-3</v>
      </c>
      <c r="C41" s="20">
        <f t="shared" si="1"/>
        <v>4.967795107408058E-4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2.9757005967463022E-2</v>
      </c>
      <c r="C42" s="20">
        <f t="shared" si="1"/>
        <v>1.6040244432334308E-3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4.9311504819473828E-2</v>
      </c>
      <c r="C43" s="20">
        <f t="shared" si="1"/>
        <v>2.8682239426910034E-3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6.8630849673886579E-2</v>
      </c>
      <c r="C44" s="20">
        <f t="shared" si="1"/>
        <v>4.3049985247033745E-3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8.7698721299915072E-2</v>
      </c>
      <c r="C45" s="20">
        <f t="shared" si="1"/>
        <v>5.9416103666555418E-3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0.10648560045004458</v>
      </c>
      <c r="C46" s="20">
        <f t="shared" si="1"/>
        <v>7.8181967808695508E-3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0.1249415628713684</v>
      </c>
      <c r="C47" s="20">
        <f t="shared" si="1"/>
        <v>9.9890517299673232E-3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0.14298518027878668</v>
      </c>
      <c r="C48" s="20">
        <f t="shared" si="1"/>
        <v>1.2524507573322343E-2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0.16048598314063375</v>
      </c>
      <c r="C49" s="20">
        <f t="shared" si="1"/>
        <v>1.551479202980635E-2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0.17723606803664682</v>
      </c>
      <c r="C50" s="20">
        <f t="shared" si="1"/>
        <v>1.9078712085476884E-2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0.19290342874823896</v>
      </c>
      <c r="C51" s="20">
        <f t="shared" si="1"/>
        <v>2.3382667262411481E-2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0.20695499250676322</v>
      </c>
      <c r="C52" s="20">
        <f t="shared" si="1"/>
        <v>2.8680195983760676E-2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0.21853060574248967</v>
      </c>
      <c r="C53" s="20">
        <f t="shared" si="1"/>
        <v>3.5390389524431708E-2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0.22623972704203246</v>
      </c>
      <c r="C54" s="20">
        <f t="shared" si="1"/>
        <v>4.4247119391641027E-2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0.22783969832463136</v>
      </c>
      <c r="C55" s="20">
        <f t="shared" si="1"/>
        <v>5.6573034521624585E-2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0.21973752043420619</v>
      </c>
      <c r="C56" s="20">
        <f t="shared" si="1"/>
        <v>7.4766700294460836E-2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0.1962354316621186</v>
      </c>
      <c r="C57" s="20">
        <f t="shared" si="1"/>
        <v>0.1031434099392374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0.14841373464085306</v>
      </c>
      <c r="C58" s="20">
        <f t="shared" si="1"/>
        <v>0.14934703981426656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28" workbookViewId="0">
      <selection activeCell="A2" sqref="A2:M16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-2.542396E-5</v>
      </c>
      <c r="C2" s="1">
        <v>1.613162E-7</v>
      </c>
      <c r="D2" s="1">
        <v>2.6194650000000002E-6</v>
      </c>
      <c r="E2" s="1">
        <v>3.2937629999999997E-7</v>
      </c>
      <c r="F2" s="1">
        <v>2.5558549999999999E-5</v>
      </c>
      <c r="G2" s="1">
        <v>1.575713E-7</v>
      </c>
      <c r="H2" s="1">
        <v>0</v>
      </c>
      <c r="I2" s="1">
        <v>0</v>
      </c>
      <c r="J2" s="2">
        <v>-1.757474</v>
      </c>
      <c r="K2" s="1">
        <v>0</v>
      </c>
      <c r="L2" s="2">
        <v>0.18107490000000001</v>
      </c>
      <c r="M2" s="1">
        <v>0</v>
      </c>
    </row>
    <row r="3" spans="1:13" x14ac:dyDescent="0.25">
      <c r="A3">
        <v>2</v>
      </c>
      <c r="B3" s="1">
        <v>8.2664010000000005E-4</v>
      </c>
      <c r="C3" s="1">
        <v>1.0462870000000001E-5</v>
      </c>
      <c r="D3" s="1">
        <v>-3.843064E-5</v>
      </c>
      <c r="E3" s="1">
        <v>1.6018290000000001E-5</v>
      </c>
      <c r="F3" s="1">
        <v>8.2753290000000005E-4</v>
      </c>
      <c r="G3" s="1">
        <v>1.0124880000000001E-5</v>
      </c>
      <c r="H3" s="1">
        <v>-2.3583159999999999E-2</v>
      </c>
      <c r="I3" s="1">
        <v>2.9475009999999999E-2</v>
      </c>
      <c r="J3" s="2">
        <v>1</v>
      </c>
      <c r="K3" s="1">
        <v>0</v>
      </c>
      <c r="L3" s="2">
        <v>-4.6490169999999997E-2</v>
      </c>
      <c r="M3" s="1">
        <v>0</v>
      </c>
    </row>
    <row r="4" spans="1:13" x14ac:dyDescent="0.25">
      <c r="A4">
        <v>3</v>
      </c>
      <c r="B4" s="1">
        <v>1.078957E-2</v>
      </c>
      <c r="C4" s="1">
        <v>3.0175090000000003E-4</v>
      </c>
      <c r="D4" s="1">
        <v>1.638233E-3</v>
      </c>
      <c r="E4" s="1">
        <v>9.3358839999999998E-4</v>
      </c>
      <c r="F4" s="1">
        <v>1.0913239999999999E-2</v>
      </c>
      <c r="G4" s="1">
        <v>2.7245699999999998E-4</v>
      </c>
      <c r="H4" s="1">
        <v>0</v>
      </c>
      <c r="I4" s="1">
        <v>0</v>
      </c>
      <c r="J4" s="2">
        <v>0.2284157</v>
      </c>
      <c r="K4" s="1">
        <v>0</v>
      </c>
      <c r="L4" s="2">
        <v>3.4681450000000003E-2</v>
      </c>
      <c r="M4" s="1">
        <v>0</v>
      </c>
    </row>
    <row r="5" spans="1:13" x14ac:dyDescent="0.25">
      <c r="A5">
        <v>4</v>
      </c>
      <c r="B5" s="1">
        <v>-5.1643809999999998E-2</v>
      </c>
      <c r="C5" s="1">
        <v>3.4293659999999997E-2</v>
      </c>
      <c r="D5" s="1">
        <v>-3.1926780000000002E-2</v>
      </c>
      <c r="E5" s="1">
        <v>5.8949910000000001E-2</v>
      </c>
      <c r="F5" s="1">
        <v>6.0715749999999999E-2</v>
      </c>
      <c r="G5" s="1">
        <v>3.171264E-2</v>
      </c>
      <c r="H5" s="1">
        <v>0</v>
      </c>
      <c r="I5" s="1">
        <v>0</v>
      </c>
      <c r="J5" s="2">
        <v>-1.913277E-2</v>
      </c>
      <c r="K5" s="1">
        <v>0</v>
      </c>
      <c r="L5" s="2">
        <v>-1.1828099999999999E-2</v>
      </c>
      <c r="M5" s="1">
        <v>0</v>
      </c>
    </row>
    <row r="6" spans="1:13" x14ac:dyDescent="0.25">
      <c r="A6">
        <v>5</v>
      </c>
      <c r="B6" s="1">
        <v>1.1728689999999999</v>
      </c>
      <c r="C6" s="1">
        <v>1.919697</v>
      </c>
      <c r="D6" s="1">
        <v>2.1753040000000001</v>
      </c>
      <c r="E6" s="1">
        <v>3.226404</v>
      </c>
      <c r="F6" s="1">
        <v>2.471349</v>
      </c>
      <c r="G6" s="1">
        <v>1.909262</v>
      </c>
      <c r="H6" s="1">
        <v>0</v>
      </c>
      <c r="I6" s="1">
        <v>0</v>
      </c>
      <c r="J6" s="2">
        <v>7.6040880000000002E-3</v>
      </c>
      <c r="K6" s="1">
        <v>0</v>
      </c>
      <c r="L6" s="2">
        <v>1.41032E-2</v>
      </c>
      <c r="M6" s="1">
        <v>0</v>
      </c>
    </row>
    <row r="7" spans="1:13" x14ac:dyDescent="0.25">
      <c r="A7">
        <v>6</v>
      </c>
      <c r="B7" s="1">
        <v>159.9315</v>
      </c>
      <c r="C7" s="1">
        <v>146.3486</v>
      </c>
      <c r="D7" s="1">
        <v>77.401309999999995</v>
      </c>
      <c r="E7" s="1">
        <v>181.71379999999999</v>
      </c>
      <c r="F7" s="1">
        <v>177.67679999999999</v>
      </c>
      <c r="G7" s="1">
        <v>114.8096</v>
      </c>
      <c r="H7" s="1">
        <v>0</v>
      </c>
      <c r="I7" s="1">
        <v>0</v>
      </c>
      <c r="J7" s="2">
        <v>1.8145540000000002E-2</v>
      </c>
      <c r="K7" s="1">
        <v>0</v>
      </c>
      <c r="L7" s="2">
        <v>8.7818099999999993E-3</v>
      </c>
      <c r="M7" s="1">
        <v>0</v>
      </c>
    </row>
    <row r="8" spans="1:13" x14ac:dyDescent="0.25">
      <c r="A8">
        <v>7</v>
      </c>
      <c r="B8" s="1">
        <v>-10064.68</v>
      </c>
      <c r="C8" s="1">
        <v>6552.5559999999996</v>
      </c>
      <c r="D8" s="1">
        <v>12890.96</v>
      </c>
      <c r="E8" s="1">
        <v>7522.4560000000001</v>
      </c>
      <c r="F8" s="1">
        <v>16354.65</v>
      </c>
      <c r="G8" s="1">
        <v>4853.4620000000004</v>
      </c>
      <c r="H8" s="1">
        <v>0</v>
      </c>
      <c r="I8" s="1">
        <v>0</v>
      </c>
      <c r="J8" s="2">
        <v>-1.9983589999999999E-2</v>
      </c>
      <c r="K8" s="1">
        <v>0</v>
      </c>
      <c r="L8" s="2">
        <v>2.559523E-2</v>
      </c>
      <c r="M8" s="1">
        <v>0</v>
      </c>
    </row>
    <row r="9" spans="1:13" x14ac:dyDescent="0.25">
      <c r="A9">
        <v>8</v>
      </c>
      <c r="B9" s="1">
        <v>-163469.4</v>
      </c>
      <c r="C9" s="1">
        <v>243743.8</v>
      </c>
      <c r="D9" s="1">
        <v>-466268.9</v>
      </c>
      <c r="E9" s="1">
        <v>786511.2</v>
      </c>
      <c r="F9" s="1">
        <v>494094.1</v>
      </c>
      <c r="G9" s="1">
        <v>542235.30000000005</v>
      </c>
      <c r="H9" s="1">
        <v>0</v>
      </c>
      <c r="I9" s="1">
        <v>0</v>
      </c>
      <c r="J9" s="2">
        <v>-5.6800009999999996E-3</v>
      </c>
      <c r="K9" s="1">
        <v>0</v>
      </c>
      <c r="L9" s="2">
        <v>-1.6201239999999999E-2</v>
      </c>
      <c r="M9" s="1">
        <v>0</v>
      </c>
    </row>
    <row r="10" spans="1:13" x14ac:dyDescent="0.25">
      <c r="A10">
        <v>9</v>
      </c>
      <c r="B10" s="1">
        <v>27264980</v>
      </c>
      <c r="C10" s="1">
        <v>21874350</v>
      </c>
      <c r="D10" s="1">
        <v>63572560</v>
      </c>
      <c r="E10" s="1">
        <v>39392940</v>
      </c>
      <c r="F10" s="1">
        <v>69172600</v>
      </c>
      <c r="G10" s="1">
        <v>24720550</v>
      </c>
      <c r="H10" s="1">
        <v>0</v>
      </c>
      <c r="I10" s="1">
        <v>0</v>
      </c>
      <c r="J10" s="2">
        <v>1.6578880000000001E-2</v>
      </c>
      <c r="K10" s="1">
        <v>0</v>
      </c>
      <c r="L10" s="2">
        <v>3.8656240000000001E-2</v>
      </c>
      <c r="M10" s="1">
        <v>0</v>
      </c>
    </row>
    <row r="11" spans="1:13" x14ac:dyDescent="0.25">
      <c r="A11">
        <v>10</v>
      </c>
      <c r="B11" s="1">
        <v>2419488000</v>
      </c>
      <c r="C11" s="1">
        <v>2547215000</v>
      </c>
      <c r="D11" s="1">
        <v>2612542000</v>
      </c>
      <c r="E11" s="1">
        <v>2052823000</v>
      </c>
      <c r="F11" s="1">
        <v>3560800000</v>
      </c>
      <c r="G11" s="1">
        <v>1510062000</v>
      </c>
      <c r="H11" s="1">
        <v>0</v>
      </c>
      <c r="I11" s="1">
        <v>0</v>
      </c>
      <c r="J11" s="2">
        <v>2.5746100000000001E-2</v>
      </c>
      <c r="K11" s="1">
        <v>0</v>
      </c>
      <c r="L11" s="2">
        <v>2.7800410000000001E-2</v>
      </c>
      <c r="M11" s="1">
        <v>0</v>
      </c>
    </row>
    <row r="12" spans="1:13" x14ac:dyDescent="0.25">
      <c r="A12">
        <v>11</v>
      </c>
      <c r="B12" s="1">
        <v>206076800000</v>
      </c>
      <c r="C12" s="1">
        <v>104117600000</v>
      </c>
      <c r="D12" s="1">
        <v>20550640000</v>
      </c>
      <c r="E12" s="1">
        <v>106507700000</v>
      </c>
      <c r="F12" s="1">
        <v>207098900000</v>
      </c>
      <c r="G12" s="1">
        <v>64273710000</v>
      </c>
      <c r="H12" s="1">
        <v>0</v>
      </c>
      <c r="I12" s="1">
        <v>0</v>
      </c>
      <c r="J12" s="2">
        <v>3.8375590000000001E-2</v>
      </c>
      <c r="K12" s="1">
        <v>0</v>
      </c>
      <c r="L12" s="2">
        <v>3.8269369999999999E-3</v>
      </c>
      <c r="M12" s="1">
        <v>0</v>
      </c>
    </row>
    <row r="13" spans="1:13" x14ac:dyDescent="0.25">
      <c r="A13">
        <v>12</v>
      </c>
      <c r="B13" s="1">
        <v>13815540000000</v>
      </c>
      <c r="C13" s="1">
        <v>5716365000000</v>
      </c>
      <c r="D13" s="1">
        <v>8898283000000</v>
      </c>
      <c r="E13" s="1">
        <v>11894480000000</v>
      </c>
      <c r="F13" s="1">
        <v>16433160000000</v>
      </c>
      <c r="G13" s="1">
        <v>5130671000000</v>
      </c>
      <c r="H13" s="1">
        <v>0</v>
      </c>
      <c r="I13" s="1">
        <v>0</v>
      </c>
      <c r="J13" s="2">
        <v>4.502275E-2</v>
      </c>
      <c r="K13" s="1">
        <v>0</v>
      </c>
      <c r="L13" s="2">
        <v>2.899815E-2</v>
      </c>
      <c r="M13" s="1">
        <v>0</v>
      </c>
    </row>
    <row r="14" spans="1:13" x14ac:dyDescent="0.25">
      <c r="A14">
        <v>13</v>
      </c>
      <c r="B14" s="1">
        <v>207461500000000</v>
      </c>
      <c r="C14" s="1">
        <v>466682300000000</v>
      </c>
      <c r="D14" s="1">
        <v>654587700000000</v>
      </c>
      <c r="E14" s="1">
        <v>403798100000000</v>
      </c>
      <c r="F14" s="1">
        <v>686677100000000</v>
      </c>
      <c r="G14" s="1">
        <v>338906400000000</v>
      </c>
      <c r="H14" s="1">
        <v>0</v>
      </c>
      <c r="I14" s="1">
        <v>0</v>
      </c>
      <c r="J14" s="2">
        <v>1.183149E-2</v>
      </c>
      <c r="K14" s="1">
        <v>0</v>
      </c>
      <c r="L14" s="2">
        <v>3.7331030000000001E-2</v>
      </c>
      <c r="M14" s="1">
        <v>0</v>
      </c>
    </row>
    <row r="15" spans="1:13" x14ac:dyDescent="0.25">
      <c r="A15">
        <v>14</v>
      </c>
      <c r="B15" s="1">
        <v>5.978638E+16</v>
      </c>
      <c r="C15" s="1">
        <v>2.822775E+16</v>
      </c>
      <c r="D15" s="1">
        <v>6.980113E+16</v>
      </c>
      <c r="E15" s="1">
        <v>2.597907E+16</v>
      </c>
      <c r="F15" s="1">
        <v>9.190543E+16</v>
      </c>
      <c r="G15" s="1">
        <v>2.086336E+16</v>
      </c>
      <c r="H15" s="1">
        <v>0</v>
      </c>
      <c r="I15" s="1">
        <v>0</v>
      </c>
      <c r="J15" s="2">
        <v>5.966813E-2</v>
      </c>
      <c r="K15" s="1">
        <v>0</v>
      </c>
      <c r="L15" s="2">
        <v>6.9663059999999999E-2</v>
      </c>
      <c r="M15" s="1">
        <v>0</v>
      </c>
    </row>
    <row r="16" spans="1:13" x14ac:dyDescent="0.25">
      <c r="A16">
        <v>15</v>
      </c>
      <c r="B16" s="1">
        <v>3.995554E+18</v>
      </c>
      <c r="C16" s="1">
        <v>1.928607E+18</v>
      </c>
      <c r="D16" s="1">
        <v>-4.488498E+17</v>
      </c>
      <c r="E16" s="1">
        <v>1.900999E+18</v>
      </c>
      <c r="F16" s="1">
        <v>4.020686E+18</v>
      </c>
      <c r="G16" s="1">
        <v>1.695855E+18</v>
      </c>
      <c r="H16" s="1">
        <v>0</v>
      </c>
      <c r="I16" s="1">
        <v>0</v>
      </c>
      <c r="J16" s="2">
        <v>6.9783880000000006E-2</v>
      </c>
      <c r="K16" s="1">
        <v>0</v>
      </c>
      <c r="L16" s="2">
        <v>-7.8393349999999994E-3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8.2664010000000005E-4</v>
      </c>
      <c r="B20" s="10">
        <f>C3</f>
        <v>1.0462870000000001E-5</v>
      </c>
      <c r="C20" s="11">
        <f>B2/B3/0.000001</f>
        <v>-30755.778724017866</v>
      </c>
      <c r="D20" s="12">
        <f>C2/B3/0.000001</f>
        <v>195.14683596888173</v>
      </c>
      <c r="E20" s="11">
        <f>D2/B3/0.000001</f>
        <v>3168.8094976278071</v>
      </c>
      <c r="F20" s="11">
        <f>E2/B3/0.000001</f>
        <v>398.45187766719761</v>
      </c>
      <c r="G20" s="10">
        <f>H3</f>
        <v>-2.3583159999999999E-2</v>
      </c>
      <c r="H20" s="10">
        <f>I3</f>
        <v>2.9475009999999999E-2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-0.22883619616445877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-3.9140647445066304E-2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-0.21522670631039886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-5.4456221817203547E-2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-0.20373316187443022</v>
      </c>
      <c r="C25" s="20">
        <f t="shared" si="1"/>
        <v>-5.6801872508346618E-2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-0.19242509533769844</v>
      </c>
      <c r="C26" s="20">
        <f t="shared" si="1"/>
        <v>-5.3191252452354155E-2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-0.18063548730707707</v>
      </c>
      <c r="C27" s="20">
        <f t="shared" si="1"/>
        <v>-4.7355229651673568E-2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-0.16825003713261438</v>
      </c>
      <c r="C28" s="20">
        <f t="shared" si="1"/>
        <v>-4.1131983601602508E-2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-0.15535651027229291</v>
      </c>
      <c r="C29" s="20">
        <f t="shared" si="1"/>
        <v>-3.5318378357596068E-2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-0.14208939877204865</v>
      </c>
      <c r="C30" s="20">
        <f t="shared" si="1"/>
        <v>-3.017329129880476E-2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-0.12857244466072448</v>
      </c>
      <c r="C31" s="20">
        <f t="shared" si="1"/>
        <v>-2.570279601953096E-2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-0.11490481749076063</v>
      </c>
      <c r="C32" s="20">
        <f t="shared" si="1"/>
        <v>-2.1813271637166336E-2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-0.1011632046576821</v>
      </c>
      <c r="C33" s="20">
        <f t="shared" si="1"/>
        <v>-1.8387700191504281E-2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-8.740728931457889E-2</v>
      </c>
      <c r="C34" s="20">
        <f t="shared" si="1"/>
        <v>-1.5319378521437416E-2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-7.3684114795489114E-2</v>
      </c>
      <c r="C35" s="20">
        <f t="shared" si="1"/>
        <v>-1.2523390250581655E-2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-6.003054331933512E-2</v>
      </c>
      <c r="C36" s="20">
        <f t="shared" si="1"/>
        <v>-9.9373799684429158E-3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-4.6474356210538949E-2</v>
      </c>
      <c r="C37" s="20">
        <f t="shared" si="1"/>
        <v>-7.5178389313467374E-3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-3.3034748982951966E-2</v>
      </c>
      <c r="C38" s="20">
        <f t="shared" si="1"/>
        <v>-5.2350449118339863E-3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-1.9722764715244943E-2</v>
      </c>
      <c r="C39" s="20">
        <f t="shared" si="1"/>
        <v>-3.0681293869658493E-3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-6.5419428039398091E-3</v>
      </c>
      <c r="C40" s="20">
        <f t="shared" si="1"/>
        <v>-1.0008777471992379E-3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6.5107298024753872E-3</v>
      </c>
      <c r="C41" s="20">
        <f t="shared" si="1"/>
        <v>9.8157826077618178E-4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1.9443584650095543E-2</v>
      </c>
      <c r="C42" s="20">
        <f t="shared" si="1"/>
        <v>2.8952641836360485E-3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3.2268847182063867E-2</v>
      </c>
      <c r="C43" s="20">
        <f t="shared" si="1"/>
        <v>4.7593151569746764E-3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4.5001214622097753E-2</v>
      </c>
      <c r="C44" s="20">
        <f t="shared" si="1"/>
        <v>6.5977683339689648E-3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5.7656826757023945E-2</v>
      </c>
      <c r="C45" s="20">
        <f t="shared" si="1"/>
        <v>8.4417465154046373E-3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7.0253404891433668E-2</v>
      </c>
      <c r="C46" s="20">
        <f t="shared" si="1"/>
        <v>1.0332840277862838E-2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8.2813071490143234E-2</v>
      </c>
      <c r="C47" s="20">
        <f t="shared" si="1"/>
        <v>1.2328993587996521E-2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9.5370770775716165E-2</v>
      </c>
      <c r="C48" s="20">
        <f t="shared" si="1"/>
        <v>1.4515186049781999E-2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0.10799387011610355</v>
      </c>
      <c r="C49" s="20">
        <f t="shared" si="1"/>
        <v>1.7023068747557293E-2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0.1208234179017576</v>
      </c>
      <c r="C50" s="20">
        <f t="shared" si="1"/>
        <v>2.0067000106257588E-2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0.13415622351121809</v>
      </c>
      <c r="C51" s="20">
        <f t="shared" si="1"/>
        <v>2.4009383305282767E-2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0.148601740080436</v>
      </c>
      <c r="C52" s="20">
        <f t="shared" si="1"/>
        <v>2.947677944602985E-2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0.16537200602967109</v>
      </c>
      <c r="C53" s="20">
        <f t="shared" si="1"/>
        <v>3.7561143125026959E-2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0.18680123567305842</v>
      </c>
      <c r="C54" s="20">
        <f t="shared" si="1"/>
        <v>5.0159126980162151E-2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0.21725019633341533</v>
      </c>
      <c r="C55" s="20">
        <f t="shared" si="1"/>
        <v>7.0528413974562942E-2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0.26463729796192975</v>
      </c>
      <c r="C56" s="20">
        <f t="shared" si="1"/>
        <v>0.10417541094732834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0.34296360590717773</v>
      </c>
      <c r="C57" s="20">
        <f t="shared" si="1"/>
        <v>0.16023559499142748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0.47637562938652384</v>
      </c>
      <c r="C58" s="20">
        <f t="shared" si="1"/>
        <v>0.25356883819177101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10" workbookViewId="0">
      <selection activeCell="K31" sqref="K31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-2.5186650000000001E-5</v>
      </c>
      <c r="C2" s="1">
        <v>1.555072E-7</v>
      </c>
      <c r="D2" s="1">
        <v>1.9997399999999999E-6</v>
      </c>
      <c r="E2" s="1">
        <v>3.5585489999999999E-7</v>
      </c>
      <c r="F2" s="1">
        <v>2.5265909999999999E-5</v>
      </c>
      <c r="G2" s="1">
        <v>1.4472750000000001E-7</v>
      </c>
      <c r="H2" s="1">
        <v>0</v>
      </c>
      <c r="I2" s="1">
        <v>0</v>
      </c>
      <c r="J2" s="2">
        <v>-1.7150749999999999</v>
      </c>
      <c r="K2" s="1">
        <v>0</v>
      </c>
      <c r="L2" s="2">
        <v>0.1361715</v>
      </c>
      <c r="M2" s="1">
        <v>0</v>
      </c>
    </row>
    <row r="3" spans="1:13" x14ac:dyDescent="0.25">
      <c r="A3">
        <v>2</v>
      </c>
      <c r="B3" s="1">
        <v>8.3916860000000004E-4</v>
      </c>
      <c r="C3" s="1">
        <v>7.4701739999999998E-6</v>
      </c>
      <c r="D3" s="1">
        <v>-9.6464400000000004E-5</v>
      </c>
      <c r="E3" s="1">
        <v>1.6335950000000001E-5</v>
      </c>
      <c r="F3" s="1">
        <v>8.4469479999999995E-4</v>
      </c>
      <c r="G3" s="1">
        <v>8.4118410000000002E-6</v>
      </c>
      <c r="H3" s="1">
        <v>-5.6809020000000002E-2</v>
      </c>
      <c r="I3" s="1">
        <v>2.8023429999999998E-2</v>
      </c>
      <c r="J3" s="2">
        <v>1</v>
      </c>
      <c r="K3" s="1">
        <v>0</v>
      </c>
      <c r="L3" s="2">
        <v>-0.1149524</v>
      </c>
      <c r="M3" s="1">
        <v>0</v>
      </c>
    </row>
    <row r="4" spans="1:13" x14ac:dyDescent="0.25">
      <c r="A4">
        <v>3</v>
      </c>
      <c r="B4" s="1">
        <v>1.080909E-2</v>
      </c>
      <c r="C4" s="1">
        <v>6.0009169999999999E-4</v>
      </c>
      <c r="D4" s="1">
        <v>-5.8297350000000004E-4</v>
      </c>
      <c r="E4" s="1">
        <v>1.1810429999999999E-3</v>
      </c>
      <c r="F4" s="1">
        <v>1.0824800000000001E-2</v>
      </c>
      <c r="G4" s="1">
        <v>6.5077090000000004E-4</v>
      </c>
      <c r="H4" s="1">
        <v>0</v>
      </c>
      <c r="I4" s="1">
        <v>0</v>
      </c>
      <c r="J4" s="2">
        <v>0.22541249999999999</v>
      </c>
      <c r="K4" s="1">
        <v>0</v>
      </c>
      <c r="L4" s="2">
        <v>-1.2157309999999999E-2</v>
      </c>
      <c r="M4" s="1">
        <v>0</v>
      </c>
    </row>
    <row r="5" spans="1:13" x14ac:dyDescent="0.25">
      <c r="A5">
        <v>4</v>
      </c>
      <c r="B5" s="1">
        <v>-4.5233469999999998E-2</v>
      </c>
      <c r="C5" s="1">
        <v>3.7153690000000003E-2</v>
      </c>
      <c r="D5" s="1">
        <v>1.7129220000000001E-2</v>
      </c>
      <c r="E5" s="1">
        <v>6.3390189999999999E-2</v>
      </c>
      <c r="F5" s="1">
        <v>4.8368139999999997E-2</v>
      </c>
      <c r="G5" s="1">
        <v>2.5267459999999999E-2</v>
      </c>
      <c r="H5" s="1">
        <v>0</v>
      </c>
      <c r="I5" s="1">
        <v>0</v>
      </c>
      <c r="J5" s="2">
        <v>-1.6507709999999998E-2</v>
      </c>
      <c r="K5" s="1">
        <v>0</v>
      </c>
      <c r="L5" s="2">
        <v>6.2512160000000004E-3</v>
      </c>
      <c r="M5" s="1">
        <v>0</v>
      </c>
    </row>
    <row r="6" spans="1:13" x14ac:dyDescent="0.25">
      <c r="A6">
        <v>5</v>
      </c>
      <c r="B6" s="1">
        <v>0.79568830000000002</v>
      </c>
      <c r="C6" s="1">
        <v>1.095758</v>
      </c>
      <c r="D6" s="1">
        <v>-3.7307899999999998</v>
      </c>
      <c r="E6" s="1">
        <v>3.2675909999999999</v>
      </c>
      <c r="F6" s="1">
        <v>3.8146969999999998</v>
      </c>
      <c r="G6" s="1">
        <v>1.662898</v>
      </c>
      <c r="H6" s="1">
        <v>0</v>
      </c>
      <c r="I6" s="1">
        <v>0</v>
      </c>
      <c r="J6" s="2">
        <v>5.0816869999999997E-3</v>
      </c>
      <c r="K6" s="1">
        <v>0</v>
      </c>
      <c r="L6" s="2">
        <v>-2.3826799999999999E-2</v>
      </c>
      <c r="M6" s="1">
        <v>0</v>
      </c>
    </row>
    <row r="7" spans="1:13" x14ac:dyDescent="0.25">
      <c r="A7">
        <v>6</v>
      </c>
      <c r="B7" s="1">
        <v>-197.70429999999999</v>
      </c>
      <c r="C7" s="1">
        <v>155.8716</v>
      </c>
      <c r="D7" s="1">
        <v>-324.95679999999999</v>
      </c>
      <c r="E7" s="1">
        <v>224.60890000000001</v>
      </c>
      <c r="F7" s="1">
        <v>380.3734</v>
      </c>
      <c r="G7" s="1">
        <v>139.9126</v>
      </c>
      <c r="H7" s="1">
        <v>0</v>
      </c>
      <c r="I7" s="1">
        <v>0</v>
      </c>
      <c r="J7" s="2">
        <v>-2.2096270000000001E-2</v>
      </c>
      <c r="K7" s="1">
        <v>0</v>
      </c>
      <c r="L7" s="2">
        <v>-3.631856E-2</v>
      </c>
      <c r="M7" s="1">
        <v>0</v>
      </c>
    </row>
    <row r="8" spans="1:13" x14ac:dyDescent="0.25">
      <c r="A8">
        <v>7</v>
      </c>
      <c r="B8" s="1">
        <v>-8379.0349999999999</v>
      </c>
      <c r="C8" s="1">
        <v>11579.03</v>
      </c>
      <c r="D8" s="1">
        <v>-19466.419999999998</v>
      </c>
      <c r="E8" s="1">
        <v>14287.26</v>
      </c>
      <c r="F8" s="1">
        <v>21193.15</v>
      </c>
      <c r="G8" s="1">
        <v>6236.8530000000001</v>
      </c>
      <c r="H8" s="1">
        <v>0</v>
      </c>
      <c r="I8" s="1">
        <v>0</v>
      </c>
      <c r="J8" s="2">
        <v>-1.6388340000000001E-2</v>
      </c>
      <c r="K8" s="1">
        <v>0</v>
      </c>
      <c r="L8" s="2">
        <v>-3.8073870000000003E-2</v>
      </c>
      <c r="M8" s="1">
        <v>0</v>
      </c>
    </row>
    <row r="9" spans="1:13" x14ac:dyDescent="0.25">
      <c r="A9">
        <v>8</v>
      </c>
      <c r="B9" s="1">
        <v>60352.61</v>
      </c>
      <c r="C9" s="1">
        <v>555811.4</v>
      </c>
      <c r="D9" s="1">
        <v>-33169.040000000001</v>
      </c>
      <c r="E9" s="1">
        <v>710035</v>
      </c>
      <c r="F9" s="1">
        <v>68866.7</v>
      </c>
      <c r="G9" s="1">
        <v>344776.9</v>
      </c>
      <c r="H9" s="1">
        <v>0</v>
      </c>
      <c r="I9" s="1">
        <v>0</v>
      </c>
      <c r="J9" s="2">
        <v>2.0657370000000002E-3</v>
      </c>
      <c r="K9" s="1">
        <v>0</v>
      </c>
      <c r="L9" s="2">
        <v>-1.135303E-3</v>
      </c>
      <c r="M9" s="1">
        <v>0</v>
      </c>
    </row>
    <row r="10" spans="1:13" x14ac:dyDescent="0.25">
      <c r="A10">
        <v>9</v>
      </c>
      <c r="B10" s="1">
        <v>-1851374</v>
      </c>
      <c r="C10" s="1">
        <v>21971080</v>
      </c>
      <c r="D10" s="1">
        <v>-30148900</v>
      </c>
      <c r="E10" s="1">
        <v>50344430</v>
      </c>
      <c r="F10" s="1">
        <v>30205690</v>
      </c>
      <c r="G10" s="1">
        <v>29247960</v>
      </c>
      <c r="H10" s="1">
        <v>0</v>
      </c>
      <c r="I10" s="1">
        <v>0</v>
      </c>
      <c r="J10" s="2">
        <v>-1.108948E-3</v>
      </c>
      <c r="K10" s="1">
        <v>0</v>
      </c>
      <c r="L10" s="2">
        <v>-1.8058790000000002E-2</v>
      </c>
      <c r="M10" s="1">
        <v>0</v>
      </c>
    </row>
    <row r="11" spans="1:13" x14ac:dyDescent="0.25">
      <c r="A11">
        <v>10</v>
      </c>
      <c r="B11" s="1">
        <v>-4068858000</v>
      </c>
      <c r="C11" s="1">
        <v>1485369000</v>
      </c>
      <c r="D11" s="1">
        <v>-4293693000</v>
      </c>
      <c r="E11" s="1">
        <v>2318720000</v>
      </c>
      <c r="F11" s="1">
        <v>5915353000</v>
      </c>
      <c r="G11" s="1">
        <v>2106048000</v>
      </c>
      <c r="H11" s="1">
        <v>0</v>
      </c>
      <c r="I11" s="1">
        <v>0</v>
      </c>
      <c r="J11" s="2">
        <v>-4.2650849999999997E-2</v>
      </c>
      <c r="K11" s="1">
        <v>0</v>
      </c>
      <c r="L11" s="2">
        <v>-4.500763E-2</v>
      </c>
      <c r="M11" s="1">
        <v>0</v>
      </c>
    </row>
    <row r="12" spans="1:13" x14ac:dyDescent="0.25">
      <c r="A12">
        <v>11</v>
      </c>
      <c r="B12" s="1">
        <v>-182709800000</v>
      </c>
      <c r="C12" s="1">
        <v>106705100000</v>
      </c>
      <c r="D12" s="1">
        <v>-232591100000</v>
      </c>
      <c r="E12" s="1">
        <v>113108000000</v>
      </c>
      <c r="F12" s="1">
        <v>295772700000</v>
      </c>
      <c r="G12" s="1">
        <v>69296210000</v>
      </c>
      <c r="H12" s="1">
        <v>0</v>
      </c>
      <c r="I12" s="1">
        <v>0</v>
      </c>
      <c r="J12" s="2">
        <v>-3.3516219999999999E-2</v>
      </c>
      <c r="K12" s="1">
        <v>0</v>
      </c>
      <c r="L12" s="2">
        <v>-4.266644E-2</v>
      </c>
      <c r="M12" s="1">
        <v>0</v>
      </c>
    </row>
    <row r="13" spans="1:13" x14ac:dyDescent="0.25">
      <c r="A13">
        <v>12</v>
      </c>
      <c r="B13" s="1">
        <v>5983999000000</v>
      </c>
      <c r="C13" s="1">
        <v>8935811000000</v>
      </c>
      <c r="D13" s="1">
        <v>-422976900000</v>
      </c>
      <c r="E13" s="1">
        <v>11470300000000</v>
      </c>
      <c r="F13" s="1">
        <v>5998930000000</v>
      </c>
      <c r="G13" s="1">
        <v>5241962000000</v>
      </c>
      <c r="H13" s="1">
        <v>0</v>
      </c>
      <c r="I13" s="1">
        <v>0</v>
      </c>
      <c r="J13" s="2">
        <v>1.9209799999999999E-2</v>
      </c>
      <c r="K13" s="1">
        <v>0</v>
      </c>
      <c r="L13" s="2">
        <v>-1.3578380000000001E-3</v>
      </c>
      <c r="M13" s="1">
        <v>0</v>
      </c>
    </row>
    <row r="14" spans="1:13" x14ac:dyDescent="0.25">
      <c r="A14">
        <v>13</v>
      </c>
      <c r="B14" s="1">
        <v>-806952300000000</v>
      </c>
      <c r="C14" s="1">
        <v>597146500000000</v>
      </c>
      <c r="D14" s="1">
        <v>432293900000000</v>
      </c>
      <c r="E14" s="1">
        <v>623406700000000</v>
      </c>
      <c r="F14" s="1">
        <v>915450700000000</v>
      </c>
      <c r="G14" s="1">
        <v>409042300000000</v>
      </c>
      <c r="H14" s="1">
        <v>0</v>
      </c>
      <c r="I14" s="1">
        <v>0</v>
      </c>
      <c r="J14" s="2">
        <v>-4.5333279999999997E-2</v>
      </c>
      <c r="K14" s="1">
        <v>0</v>
      </c>
      <c r="L14" s="2">
        <v>2.4285580000000001E-2</v>
      </c>
      <c r="M14" s="1">
        <v>0</v>
      </c>
    </row>
    <row r="15" spans="1:13" x14ac:dyDescent="0.25">
      <c r="A15">
        <v>14</v>
      </c>
      <c r="B15" s="1">
        <v>-1.646577E+16</v>
      </c>
      <c r="C15" s="1">
        <v>2.69949E+16</v>
      </c>
      <c r="D15" s="1">
        <v>-2.337002E+16</v>
      </c>
      <c r="E15" s="1">
        <v>2.42887E+16</v>
      </c>
      <c r="F15" s="1">
        <v>2.85881E+16</v>
      </c>
      <c r="G15" s="1">
        <v>1.793217E+16</v>
      </c>
      <c r="H15" s="1">
        <v>0</v>
      </c>
      <c r="I15" s="1">
        <v>0</v>
      </c>
      <c r="J15" s="2">
        <v>-1.6187859999999998E-2</v>
      </c>
      <c r="K15" s="1">
        <v>0</v>
      </c>
      <c r="L15" s="2">
        <v>-2.2975579999999999E-2</v>
      </c>
      <c r="M15" s="1">
        <v>0</v>
      </c>
    </row>
    <row r="16" spans="1:13" x14ac:dyDescent="0.25">
      <c r="A16">
        <v>15</v>
      </c>
      <c r="B16" s="1">
        <v>-8.042637E+17</v>
      </c>
      <c r="C16" s="1">
        <v>1.252418E+18</v>
      </c>
      <c r="D16" s="1">
        <v>-2.050665E+18</v>
      </c>
      <c r="E16" s="1">
        <v>1.83525E+18</v>
      </c>
      <c r="F16" s="1">
        <v>2.202741E+18</v>
      </c>
      <c r="G16" s="1">
        <v>1.232127E+18</v>
      </c>
      <c r="H16" s="1">
        <v>0</v>
      </c>
      <c r="I16" s="1">
        <v>0</v>
      </c>
      <c r="J16" s="2">
        <v>-1.383706E-2</v>
      </c>
      <c r="K16" s="1">
        <v>0</v>
      </c>
      <c r="L16" s="2">
        <v>-3.5280939999999997E-2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8.3916860000000004E-4</v>
      </c>
      <c r="B20" s="10">
        <f>C3</f>
        <v>7.4701739999999998E-6</v>
      </c>
      <c r="C20" s="11">
        <f>B2/B3/0.000001</f>
        <v>-30013.813672246557</v>
      </c>
      <c r="D20" s="12">
        <f>C2/B3/0.000001</f>
        <v>185.31103284846452</v>
      </c>
      <c r="E20" s="11">
        <f>D2/B3/0.000001</f>
        <v>2383.0014612081532</v>
      </c>
      <c r="F20" s="11">
        <f>E2/B3/0.000001</f>
        <v>424.0565006841295</v>
      </c>
      <c r="G20" s="10">
        <f>H3</f>
        <v>-5.6809020000000002E-2</v>
      </c>
      <c r="H20" s="10">
        <f>I3</f>
        <v>2.8023429999999998E-2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-0.19647746827055712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4.5234878135421409E-2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-0.20858617235527974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3.6449935485848982E-2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-0.20751520214713295</v>
      </c>
      <c r="C25" s="20">
        <f t="shared" si="1"/>
        <v>3.0204365325468524E-2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-0.19918457509902612</v>
      </c>
      <c r="C26" s="20">
        <f t="shared" si="1"/>
        <v>2.537811481589522E-2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-0.1870861109897774</v>
      </c>
      <c r="C27" s="20">
        <f t="shared" si="1"/>
        <v>2.1445344223958648E-2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-0.17320374146900339</v>
      </c>
      <c r="C28" s="20">
        <f t="shared" si="1"/>
        <v>1.8151941126608281E-2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-0.15861355742980426</v>
      </c>
      <c r="C29" s="20">
        <f t="shared" si="1"/>
        <v>1.5358539638002109E-2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-0.14386495178846537</v>
      </c>
      <c r="C30" s="20">
        <f t="shared" si="1"/>
        <v>1.2971488949751437E-2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-0.12921523763177864</v>
      </c>
      <c r="C31" s="20">
        <f t="shared" si="1"/>
        <v>1.0916759177630551E-2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-0.11476862171788842</v>
      </c>
      <c r="C32" s="20">
        <f t="shared" si="1"/>
        <v>9.1323423468651181E-3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-0.10055464970264566</v>
      </c>
      <c r="C33" s="20">
        <f t="shared" si="1"/>
        <v>7.5670284015259834E-3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-8.6569828958688422E-2</v>
      </c>
      <c r="C34" s="20">
        <f t="shared" si="1"/>
        <v>6.1803145190978811E-3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-7.2797993005389625E-2</v>
      </c>
      <c r="C35" s="20">
        <f t="shared" si="1"/>
        <v>4.9416845803414589E-3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-5.9219259453726567E-2</v>
      </c>
      <c r="C36" s="20">
        <f t="shared" si="1"/>
        <v>3.8290043599439908E-3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-4.5813510305778037E-2</v>
      </c>
      <c r="C37" s="20">
        <f t="shared" si="1"/>
        <v>2.8262642001275814E-3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-3.2561705654755239E-2</v>
      </c>
      <c r="C38" s="20">
        <f t="shared" si="1"/>
        <v>1.9209453082817216E-3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-1.9446667073805258E-2</v>
      </c>
      <c r="C39" s="20">
        <f t="shared" si="1"/>
        <v>1.1012032346271142E-3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-6.4539651772830805E-3</v>
      </c>
      <c r="C40" s="20">
        <f t="shared" si="1"/>
        <v>3.5298711364626202E-4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6.4269843701090278E-3</v>
      </c>
      <c r="C41" s="20">
        <f t="shared" si="1"/>
        <v>-3.4282945363620608E-4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1.9201720821044651E-2</v>
      </c>
      <c r="C42" s="20">
        <f t="shared" si="1"/>
        <v>-1.0132705752930516E-3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3.1869536215400777E-2</v>
      </c>
      <c r="C43" s="20">
        <f t="shared" si="1"/>
        <v>-1.6960814489631599E-3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4.4422235428645269E-2</v>
      </c>
      <c r="C44" s="20">
        <f t="shared" si="1"/>
        <v>-2.442762583348065E-3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5.6842591222506976E-2</v>
      </c>
      <c r="C45" s="20">
        <f t="shared" si="1"/>
        <v>-3.3222798764035227E-3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6.910190209062346E-2</v>
      </c>
      <c r="C46" s="20">
        <f t="shared" si="1"/>
        <v>-4.4262670960195762E-3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8.1155588805734896E-2</v>
      </c>
      <c r="C47" s="20">
        <f t="shared" si="1"/>
        <v>-5.8769946098588353E-3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9.2935021703760584E-2</v>
      </c>
      <c r="C48" s="20">
        <f t="shared" si="1"/>
        <v>-7.8399944274099992E-3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0.10433253358176464</v>
      </c>
      <c r="C49" s="20">
        <f t="shared" si="1"/>
        <v>-1.0544154800581565E-2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0.11517449488064374</v>
      </c>
      <c r="C50" s="20">
        <f t="shared" si="1"/>
        <v>-1.4313637336114416E-2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0.12517389809506521</v>
      </c>
      <c r="C51" s="20">
        <f t="shared" si="1"/>
        <v>-1.9618678681687349E-2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0.13384840169209633</v>
      </c>
      <c r="C52" s="20">
        <f t="shared" si="1"/>
        <v>-2.7157110589532029E-2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0.14038125168831908</v>
      </c>
      <c r="C53" s="20">
        <f t="shared" si="1"/>
        <v>-3.7986612371608643E-2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0.14338965560922909</v>
      </c>
      <c r="C54" s="20">
        <f t="shared" si="1"/>
        <v>-5.374122434347773E-2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0.14054638559781429</v>
      </c>
      <c r="C55" s="20">
        <f t="shared" si="1"/>
        <v>-7.6987148467369135E-2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0.12797355820716316</v>
      </c>
      <c r="C56" s="20">
        <f t="shared" si="1"/>
        <v>-0.11180587235905083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9.9290095590051544E-2</v>
      </c>
      <c r="C57" s="20">
        <f t="shared" si="1"/>
        <v>-0.16474175819844813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4.4143150470623026E-2</v>
      </c>
      <c r="C58" s="20">
        <f t="shared" si="1"/>
        <v>-0.24632226406505206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22" workbookViewId="0">
      <selection activeCell="A20" sqref="A20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-2.5528250000000001E-5</v>
      </c>
      <c r="C2" s="1">
        <v>1.075503E-7</v>
      </c>
      <c r="D2" s="1">
        <v>2.7644799999999998E-6</v>
      </c>
      <c r="E2" s="1">
        <v>2.4071469999999999E-7</v>
      </c>
      <c r="F2" s="1">
        <v>2.5677499999999999E-5</v>
      </c>
      <c r="G2" s="1">
        <v>1.0947670000000001E-7</v>
      </c>
      <c r="H2" s="1">
        <v>0</v>
      </c>
      <c r="I2" s="1">
        <v>0</v>
      </c>
      <c r="J2" s="2">
        <v>-2.2962259999999999</v>
      </c>
      <c r="K2" s="1">
        <v>0</v>
      </c>
      <c r="L2" s="2">
        <v>0.24866070000000001</v>
      </c>
      <c r="M2" s="1">
        <v>0</v>
      </c>
    </row>
    <row r="3" spans="1:13" x14ac:dyDescent="0.25">
      <c r="A3">
        <v>2</v>
      </c>
      <c r="B3" s="1">
        <v>6.3528460000000005E-4</v>
      </c>
      <c r="C3" s="1">
        <v>6.1657769999999999E-6</v>
      </c>
      <c r="D3" s="1">
        <v>-3.795503E-5</v>
      </c>
      <c r="E3" s="1">
        <v>1.085609E-5</v>
      </c>
      <c r="F3" s="1">
        <v>6.3641740000000004E-4</v>
      </c>
      <c r="G3" s="1">
        <v>5.9983499999999999E-6</v>
      </c>
      <c r="H3" s="1">
        <v>-2.9977030000000002E-2</v>
      </c>
      <c r="I3" s="1">
        <v>2.581087E-2</v>
      </c>
      <c r="J3" s="2">
        <v>1</v>
      </c>
      <c r="K3" s="1">
        <v>0</v>
      </c>
      <c r="L3" s="2">
        <v>-5.974492E-2</v>
      </c>
      <c r="M3" s="1">
        <v>0</v>
      </c>
    </row>
    <row r="4" spans="1:13" x14ac:dyDescent="0.25">
      <c r="A4">
        <v>3</v>
      </c>
      <c r="B4" s="1">
        <v>1.052556E-2</v>
      </c>
      <c r="C4" s="1">
        <v>6.2143059999999995E-4</v>
      </c>
      <c r="D4" s="1">
        <v>1.7787370000000001E-3</v>
      </c>
      <c r="E4" s="1">
        <v>6.8695259999999999E-4</v>
      </c>
      <c r="F4" s="1">
        <v>1.067479E-2</v>
      </c>
      <c r="G4" s="1">
        <v>6.5901459999999996E-4</v>
      </c>
      <c r="H4" s="1">
        <v>0</v>
      </c>
      <c r="I4" s="1">
        <v>0</v>
      </c>
      <c r="J4" s="2">
        <v>0.28994439999999999</v>
      </c>
      <c r="K4" s="1">
        <v>0</v>
      </c>
      <c r="L4" s="2">
        <v>4.8998340000000001E-2</v>
      </c>
      <c r="M4" s="1">
        <v>0</v>
      </c>
    </row>
    <row r="5" spans="1:13" x14ac:dyDescent="0.25">
      <c r="A5">
        <v>4</v>
      </c>
      <c r="B5" s="1">
        <v>-5.2553559999999999E-2</v>
      </c>
      <c r="C5" s="1">
        <v>4.326841E-2</v>
      </c>
      <c r="D5" s="1">
        <v>8.7165919999999994E-2</v>
      </c>
      <c r="E5" s="1">
        <v>5.3645850000000002E-2</v>
      </c>
      <c r="F5" s="1">
        <v>0.101783</v>
      </c>
      <c r="G5" s="1">
        <v>3.6285980000000002E-2</v>
      </c>
      <c r="H5" s="1">
        <v>0</v>
      </c>
      <c r="I5" s="1">
        <v>0</v>
      </c>
      <c r="J5" s="2">
        <v>-2.533436E-2</v>
      </c>
      <c r="K5" s="1">
        <v>0</v>
      </c>
      <c r="L5" s="2">
        <v>4.2019849999999997E-2</v>
      </c>
      <c r="M5" s="1">
        <v>0</v>
      </c>
    </row>
    <row r="6" spans="1:13" x14ac:dyDescent="0.25">
      <c r="A6">
        <v>5</v>
      </c>
      <c r="B6" s="1">
        <v>0.52652690000000002</v>
      </c>
      <c r="C6" s="1">
        <v>2.427835</v>
      </c>
      <c r="D6" s="1">
        <v>4.4455960000000001</v>
      </c>
      <c r="E6" s="1">
        <v>3.5062190000000002</v>
      </c>
      <c r="F6" s="1">
        <v>4.476667</v>
      </c>
      <c r="G6" s="1">
        <v>1.6970179999999999</v>
      </c>
      <c r="H6" s="1">
        <v>0</v>
      </c>
      <c r="I6" s="1">
        <v>0</v>
      </c>
      <c r="J6" s="2">
        <v>4.4418749999999996E-3</v>
      </c>
      <c r="K6" s="1">
        <v>0</v>
      </c>
      <c r="L6" s="2">
        <v>3.7503839999999997E-2</v>
      </c>
      <c r="M6" s="1">
        <v>0</v>
      </c>
    </row>
    <row r="7" spans="1:13" x14ac:dyDescent="0.25">
      <c r="A7">
        <v>6</v>
      </c>
      <c r="B7" s="1">
        <v>58.734229999999997</v>
      </c>
      <c r="C7" s="1">
        <v>109.6494</v>
      </c>
      <c r="D7" s="1">
        <v>152.23439999999999</v>
      </c>
      <c r="E7" s="1">
        <v>104.8994</v>
      </c>
      <c r="F7" s="1">
        <v>163.17179999999999</v>
      </c>
      <c r="G7" s="1">
        <v>60.446689999999997</v>
      </c>
      <c r="H7" s="1">
        <v>0</v>
      </c>
      <c r="I7" s="1">
        <v>0</v>
      </c>
      <c r="J7" s="2">
        <v>8.6711189999999997E-3</v>
      </c>
      <c r="K7" s="1">
        <v>0</v>
      </c>
      <c r="L7" s="2">
        <v>2.2474850000000001E-2</v>
      </c>
      <c r="M7" s="1">
        <v>0</v>
      </c>
    </row>
    <row r="8" spans="1:13" x14ac:dyDescent="0.25">
      <c r="A8">
        <v>7</v>
      </c>
      <c r="B8" s="1">
        <v>-2976.9639999999999</v>
      </c>
      <c r="C8" s="1">
        <v>9806.8349999999991</v>
      </c>
      <c r="D8" s="1">
        <v>9434.3780000000006</v>
      </c>
      <c r="E8" s="1">
        <v>3982.607</v>
      </c>
      <c r="F8" s="1">
        <v>9892.9169999999995</v>
      </c>
      <c r="G8" s="1">
        <v>5394.0510000000004</v>
      </c>
      <c r="H8" s="1">
        <v>0</v>
      </c>
      <c r="I8" s="1">
        <v>0</v>
      </c>
      <c r="J8" s="2">
        <v>-7.691224E-3</v>
      </c>
      <c r="K8" s="1">
        <v>0</v>
      </c>
      <c r="L8" s="2">
        <v>2.4374469999999999E-2</v>
      </c>
      <c r="M8" s="1">
        <v>0</v>
      </c>
    </row>
    <row r="9" spans="1:13" x14ac:dyDescent="0.25">
      <c r="A9">
        <v>8</v>
      </c>
      <c r="B9" s="1">
        <v>-1036111</v>
      </c>
      <c r="C9" s="1">
        <v>591074</v>
      </c>
      <c r="D9" s="1">
        <v>628924.5</v>
      </c>
      <c r="E9" s="1">
        <v>724983.1</v>
      </c>
      <c r="F9" s="1">
        <v>1212052</v>
      </c>
      <c r="G9" s="1">
        <v>494517.6</v>
      </c>
      <c r="H9" s="1">
        <v>0</v>
      </c>
      <c r="I9" s="1">
        <v>0</v>
      </c>
      <c r="J9" s="2">
        <v>-4.6845299999999999E-2</v>
      </c>
      <c r="K9" s="1">
        <v>0</v>
      </c>
      <c r="L9" s="2">
        <v>2.843534E-2</v>
      </c>
      <c r="M9" s="1">
        <v>0</v>
      </c>
    </row>
    <row r="10" spans="1:13" x14ac:dyDescent="0.25">
      <c r="A10">
        <v>9</v>
      </c>
      <c r="B10" s="1">
        <v>12760450</v>
      </c>
      <c r="C10" s="1">
        <v>30168190</v>
      </c>
      <c r="D10" s="1">
        <v>25033050</v>
      </c>
      <c r="E10" s="1">
        <v>46510740</v>
      </c>
      <c r="F10" s="1">
        <v>28097730</v>
      </c>
      <c r="G10" s="1">
        <v>29703740</v>
      </c>
      <c r="H10" s="1">
        <v>0</v>
      </c>
      <c r="I10" s="1">
        <v>0</v>
      </c>
      <c r="J10" s="2">
        <v>1.0096340000000001E-2</v>
      </c>
      <c r="K10" s="1">
        <v>0</v>
      </c>
      <c r="L10" s="2">
        <v>1.980668E-2</v>
      </c>
      <c r="M10" s="1">
        <v>0</v>
      </c>
    </row>
    <row r="11" spans="1:13" x14ac:dyDescent="0.25">
      <c r="A11">
        <v>10</v>
      </c>
      <c r="B11" s="1">
        <v>1184319000</v>
      </c>
      <c r="C11" s="1">
        <v>2305401000</v>
      </c>
      <c r="D11" s="1">
        <v>4012439000</v>
      </c>
      <c r="E11" s="1">
        <v>2001538000</v>
      </c>
      <c r="F11" s="1">
        <v>4183572000</v>
      </c>
      <c r="G11" s="1">
        <v>1181641000</v>
      </c>
      <c r="H11" s="1">
        <v>0</v>
      </c>
      <c r="I11" s="1">
        <v>0</v>
      </c>
      <c r="J11" s="2">
        <v>1.6398530000000001E-2</v>
      </c>
      <c r="K11" s="1">
        <v>0</v>
      </c>
      <c r="L11" s="2">
        <v>5.555773E-2</v>
      </c>
      <c r="M11" s="1">
        <v>0</v>
      </c>
    </row>
    <row r="12" spans="1:13" x14ac:dyDescent="0.25">
      <c r="A12">
        <v>11</v>
      </c>
      <c r="B12" s="1">
        <v>92284180000</v>
      </c>
      <c r="C12" s="1">
        <v>155303700000</v>
      </c>
      <c r="D12" s="1">
        <v>234834800000</v>
      </c>
      <c r="E12" s="1">
        <v>79706690000</v>
      </c>
      <c r="F12" s="1">
        <v>252316800000</v>
      </c>
      <c r="G12" s="1">
        <v>71921440000</v>
      </c>
      <c r="H12" s="1">
        <v>0</v>
      </c>
      <c r="I12" s="1">
        <v>0</v>
      </c>
      <c r="J12" s="2">
        <v>2.2361519999999999E-2</v>
      </c>
      <c r="K12" s="1">
        <v>0</v>
      </c>
      <c r="L12" s="2">
        <v>5.6903179999999998E-2</v>
      </c>
      <c r="M12" s="1">
        <v>0</v>
      </c>
    </row>
    <row r="13" spans="1:13" x14ac:dyDescent="0.25">
      <c r="A13">
        <v>12</v>
      </c>
      <c r="B13" s="1">
        <v>-6272187000000</v>
      </c>
      <c r="C13" s="1">
        <v>6689156000000</v>
      </c>
      <c r="D13" s="1">
        <v>6751313000000</v>
      </c>
      <c r="E13" s="1">
        <v>9357242000000</v>
      </c>
      <c r="F13" s="1">
        <v>9215236000000</v>
      </c>
      <c r="G13" s="1">
        <v>5158133000000</v>
      </c>
      <c r="H13" s="1">
        <v>0</v>
      </c>
      <c r="I13" s="1">
        <v>0</v>
      </c>
      <c r="J13" s="2">
        <v>-2.6596910000000001E-2</v>
      </c>
      <c r="K13" s="1">
        <v>0</v>
      </c>
      <c r="L13" s="2">
        <v>2.862862E-2</v>
      </c>
      <c r="M13" s="1">
        <v>0</v>
      </c>
    </row>
    <row r="14" spans="1:13" x14ac:dyDescent="0.25">
      <c r="A14">
        <v>13</v>
      </c>
      <c r="B14" s="1">
        <v>-805573000000000</v>
      </c>
      <c r="C14" s="1">
        <v>428527400000000</v>
      </c>
      <c r="D14" s="1">
        <v>1313442000000000</v>
      </c>
      <c r="E14" s="1">
        <v>557276800000000</v>
      </c>
      <c r="F14" s="1">
        <v>1540804000000000</v>
      </c>
      <c r="G14" s="1">
        <v>370493900000000</v>
      </c>
      <c r="H14" s="1">
        <v>0</v>
      </c>
      <c r="I14" s="1">
        <v>0</v>
      </c>
      <c r="J14" s="2">
        <v>-5.9779890000000002E-2</v>
      </c>
      <c r="K14" s="1">
        <v>0</v>
      </c>
      <c r="L14" s="2">
        <v>9.7467769999999995E-2</v>
      </c>
      <c r="M14" s="1">
        <v>0</v>
      </c>
    </row>
    <row r="15" spans="1:13" x14ac:dyDescent="0.25">
      <c r="A15">
        <v>14</v>
      </c>
      <c r="B15" s="1">
        <v>5947101000000000</v>
      </c>
      <c r="C15" s="1">
        <v>3.699016E+16</v>
      </c>
      <c r="D15" s="1">
        <v>4.544249E+16</v>
      </c>
      <c r="E15" s="1">
        <v>2.359871E+16</v>
      </c>
      <c r="F15" s="1">
        <v>4.582999E+16</v>
      </c>
      <c r="G15" s="1">
        <v>1.895357E+16</v>
      </c>
      <c r="H15" s="1">
        <v>0</v>
      </c>
      <c r="I15" s="1">
        <v>0</v>
      </c>
      <c r="J15" s="2">
        <v>7.7231340000000004E-3</v>
      </c>
      <c r="K15" s="1">
        <v>0</v>
      </c>
      <c r="L15" s="2">
        <v>5.9013370000000002E-2</v>
      </c>
      <c r="M15" s="1">
        <v>0</v>
      </c>
    </row>
    <row r="16" spans="1:13" x14ac:dyDescent="0.25">
      <c r="A16">
        <v>15</v>
      </c>
      <c r="B16" s="1">
        <v>-1.925911E+18</v>
      </c>
      <c r="C16" s="1">
        <v>1.031275E+18</v>
      </c>
      <c r="D16" s="1">
        <v>1.923401E+18</v>
      </c>
      <c r="E16" s="1">
        <v>1.553451E+18</v>
      </c>
      <c r="F16" s="1">
        <v>2.721876E+18</v>
      </c>
      <c r="G16" s="1">
        <v>1.177739E+18</v>
      </c>
      <c r="H16" s="1">
        <v>0</v>
      </c>
      <c r="I16" s="1">
        <v>0</v>
      </c>
      <c r="J16" s="2">
        <v>-4.3768590000000003E-2</v>
      </c>
      <c r="K16" s="1">
        <v>0</v>
      </c>
      <c r="L16" s="2">
        <v>4.3711550000000002E-2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6.3528460000000005E-4</v>
      </c>
      <c r="B20" s="10">
        <f>C3</f>
        <v>6.1657769999999999E-6</v>
      </c>
      <c r="C20" s="11">
        <f>B2/B3/0.000001</f>
        <v>-40183.958496711552</v>
      </c>
      <c r="D20" s="12">
        <f>C2/B3/0.000001</f>
        <v>169.2946751739299</v>
      </c>
      <c r="E20" s="11">
        <f>D2/B3/0.000001</f>
        <v>4351.5614891341611</v>
      </c>
      <c r="F20" s="11">
        <f>E2/B3/0.000001</f>
        <v>378.90844512837236</v>
      </c>
      <c r="G20" s="10">
        <f>H3</f>
        <v>-2.9977030000000002E-2</v>
      </c>
      <c r="H20" s="10">
        <f>I3</f>
        <v>2.581087E-2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-0.28158839036797018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-9.2636115437427349E-2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-0.2888551084287227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-5.8974134806244659E-2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-0.27979890651709044</v>
      </c>
      <c r="C25" s="20">
        <f t="shared" si="1"/>
        <v>-4.1148712587221054E-2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-0.2633033286458018</v>
      </c>
      <c r="C26" s="20">
        <f t="shared" si="1"/>
        <v>-3.1815163617543607E-2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-0.24393663566447812</v>
      </c>
      <c r="C27" s="20">
        <f t="shared" si="1"/>
        <v>-2.6826112655048039E-2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-0.22386655498556574</v>
      </c>
      <c r="C28" s="20">
        <f t="shared" si="1"/>
        <v>-2.3928276592559989E-2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-0.20399662226375553</v>
      </c>
      <c r="C29" s="20">
        <f t="shared" si="1"/>
        <v>-2.1953907132818744E-2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-0.18461282445648949</v>
      </c>
      <c r="C30" s="20">
        <f t="shared" si="1"/>
        <v>-2.0332527094656758E-2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-0.1657327070630617</v>
      </c>
      <c r="C31" s="20">
        <f t="shared" si="1"/>
        <v>-1.8805412248278371E-2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-0.14728106776016592</v>
      </c>
      <c r="C32" s="20">
        <f t="shared" si="1"/>
        <v>-1.726513054199464E-2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-0.12916963166231657</v>
      </c>
      <c r="C33" s="20">
        <f t="shared" si="1"/>
        <v>-1.5669888963437562E-2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-0.11132696984562282</v>
      </c>
      <c r="C34" s="20">
        <f t="shared" si="1"/>
        <v>-1.4000954826329499E-2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-9.3704913084457497E-2</v>
      </c>
      <c r="C35" s="20">
        <f t="shared" si="1"/>
        <v>-1.2243657859742432E-2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-7.6275405456880066E-2</v>
      </c>
      <c r="C36" s="20">
        <f t="shared" si="1"/>
        <v>-1.0380395783741263E-2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-5.9024580241394835E-2</v>
      </c>
      <c r="C37" s="20">
        <f t="shared" si="1"/>
        <v>-8.3890664201791247E-3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-4.1946965246501162E-2</v>
      </c>
      <c r="C38" s="20">
        <f t="shared" si="1"/>
        <v>-6.2434207881038638E-3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-2.5040831437421213E-2</v>
      </c>
      <c r="C39" s="20">
        <f t="shared" si="1"/>
        <v>-3.9136478232592291E-3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-8.3049084744497449E-3</v>
      </c>
      <c r="C40" s="20">
        <f t="shared" si="1"/>
        <v>-1.3665111511088196E-3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8.2635577623589099E-3</v>
      </c>
      <c r="C41" s="20">
        <f t="shared" si="1"/>
        <v>1.4351449712663898E-3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2.4669470507467841E-2</v>
      </c>
      <c r="C42" s="20">
        <f t="shared" si="1"/>
        <v>4.5335314902732833E-3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4.0919341868688917E-2</v>
      </c>
      <c r="C43" s="20">
        <f t="shared" si="1"/>
        <v>7.9777407821999737E-3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5.7019661524418688E-2</v>
      </c>
      <c r="C44" s="20">
        <f t="shared" si="1"/>
        <v>1.1826504368485573E-2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7.2974364285364954E-2</v>
      </c>
      <c r="C45" s="20">
        <f t="shared" si="1"/>
        <v>1.6152482054879062E-2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8.8781631290280355E-2</v>
      </c>
      <c r="C46" s="20">
        <f t="shared" si="1"/>
        <v>2.1049310328682191E-2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0.10443014662353668</v>
      </c>
      <c r="C47" s="20">
        <f t="shared" si="1"/>
        <v>2.6643772375211858E-2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0.11989444502333699</v>
      </c>
      <c r="C48" s="20">
        <f t="shared" si="1"/>
        <v>3.3117528196689193E-2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0.13512778101472567</v>
      </c>
      <c r="C49" s="20">
        <f t="shared" si="1"/>
        <v>4.0746574798787911E-2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0.15004848681934435</v>
      </c>
      <c r="C50" s="20">
        <f t="shared" si="1"/>
        <v>4.9973086063447594E-2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0.16451125451299342</v>
      </c>
      <c r="C51" s="20">
        <f t="shared" si="1"/>
        <v>6.153510071144231E-2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0.17824699370920483</v>
      </c>
      <c r="C52" s="20">
        <f t="shared" si="1"/>
        <v>7.6696911738765611E-2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0.19074220574605463</v>
      </c>
      <c r="C53" s="20">
        <f t="shared" si="1"/>
        <v>9.7649981863644153E-2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0.20100887766687059</v>
      </c>
      <c r="C54" s="20">
        <f t="shared" si="1"/>
        <v>0.1281947553961072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0.20716564947858485</v>
      </c>
      <c r="C55" s="20">
        <f t="shared" si="1"/>
        <v>0.17487300917781157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0.20570640319845501</v>
      </c>
      <c r="C56" s="20">
        <f t="shared" si="1"/>
        <v>0.24880491193014012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0.19026826697258406</v>
      </c>
      <c r="C57" s="20">
        <f t="shared" si="1"/>
        <v>0.36860287926347968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0.14962076232856122</v>
      </c>
      <c r="C58" s="20">
        <f t="shared" si="1"/>
        <v>0.56489561725982373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A20" sqref="A20"/>
    </sheetView>
  </sheetViews>
  <sheetFormatPr defaultRowHeight="15" x14ac:dyDescent="0.25"/>
  <cols>
    <col min="1" max="1" width="12.7109375" bestFit="1" customWidth="1"/>
    <col min="2" max="2" width="18.140625" bestFit="1" customWidth="1"/>
    <col min="3" max="3" width="17.85546875" bestFit="1" customWidth="1"/>
    <col min="4" max="4" width="21.5703125" bestFit="1" customWidth="1"/>
    <col min="5" max="5" width="17.42578125" bestFit="1" customWidth="1"/>
    <col min="6" max="6" width="19.5703125" bestFit="1" customWidth="1"/>
    <col min="7" max="7" width="17.5703125" bestFit="1" customWidth="1"/>
    <col min="8" max="8" width="16.28515625" bestFit="1" customWidth="1"/>
    <col min="9" max="9" width="16" bestFit="1" customWidth="1"/>
    <col min="10" max="10" width="23.5703125" bestFit="1" customWidth="1"/>
    <col min="11" max="11" width="23.28515625" bestFit="1" customWidth="1"/>
    <col min="12" max="12" width="23.1406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-2.521367E-5</v>
      </c>
      <c r="C2" s="1">
        <v>1.4475830000000001E-7</v>
      </c>
      <c r="D2" s="1">
        <v>2.3362449999999999E-6</v>
      </c>
      <c r="E2" s="1">
        <v>2.292854E-7</v>
      </c>
      <c r="F2" s="1">
        <v>2.532168E-5</v>
      </c>
      <c r="G2" s="1">
        <v>1.312512E-7</v>
      </c>
      <c r="H2" s="1">
        <v>0</v>
      </c>
      <c r="I2" s="1">
        <v>0</v>
      </c>
      <c r="J2" s="2">
        <v>-2.3615569999999999</v>
      </c>
      <c r="K2" s="1">
        <v>0</v>
      </c>
      <c r="L2" s="2">
        <v>0.21881690000000001</v>
      </c>
      <c r="M2" s="1">
        <v>0</v>
      </c>
    </row>
    <row r="3" spans="1:13" x14ac:dyDescent="0.25">
      <c r="A3">
        <v>2</v>
      </c>
      <c r="B3" s="1">
        <v>6.10098E-4</v>
      </c>
      <c r="C3" s="1">
        <v>3.505333E-6</v>
      </c>
      <c r="D3" s="1">
        <v>-6.6099879999999999E-5</v>
      </c>
      <c r="E3" s="1">
        <v>1.1176890000000001E-5</v>
      </c>
      <c r="F3" s="1">
        <v>6.1366830000000004E-4</v>
      </c>
      <c r="G3" s="1">
        <v>3.7122050000000001E-6</v>
      </c>
      <c r="H3" s="1">
        <v>-5.3818739999999997E-2</v>
      </c>
      <c r="I3" s="1">
        <v>2.7093470000000001E-2</v>
      </c>
      <c r="J3" s="2">
        <v>1</v>
      </c>
      <c r="K3" s="1">
        <v>0</v>
      </c>
      <c r="L3" s="2">
        <v>-0.1083431</v>
      </c>
      <c r="M3" s="1">
        <v>0</v>
      </c>
    </row>
    <row r="4" spans="1:13" x14ac:dyDescent="0.25">
      <c r="A4">
        <v>3</v>
      </c>
      <c r="B4" s="1">
        <v>1.0705640000000001E-2</v>
      </c>
      <c r="C4" s="1">
        <v>2.9570170000000002E-4</v>
      </c>
      <c r="D4" s="1">
        <v>4.9339469999999999E-4</v>
      </c>
      <c r="E4" s="1">
        <v>6.8390050000000004E-4</v>
      </c>
      <c r="F4" s="1">
        <v>1.0717000000000001E-2</v>
      </c>
      <c r="G4" s="1">
        <v>2.7611770000000001E-4</v>
      </c>
      <c r="H4" s="1">
        <v>0</v>
      </c>
      <c r="I4" s="1">
        <v>0</v>
      </c>
      <c r="J4" s="2">
        <v>0.30707960000000001</v>
      </c>
      <c r="K4" s="1">
        <v>0</v>
      </c>
      <c r="L4" s="2">
        <v>1.415249E-2</v>
      </c>
      <c r="M4" s="1">
        <v>0</v>
      </c>
    </row>
    <row r="5" spans="1:13" x14ac:dyDescent="0.25">
      <c r="A5">
        <v>4</v>
      </c>
      <c r="B5" s="1">
        <v>-2.701835E-2</v>
      </c>
      <c r="C5" s="1">
        <v>2.0347959999999998E-2</v>
      </c>
      <c r="D5" s="1">
        <v>6.8396559999999995E-2</v>
      </c>
      <c r="E5" s="1">
        <v>4.8988619999999997E-2</v>
      </c>
      <c r="F5" s="1">
        <v>7.3539649999999998E-2</v>
      </c>
      <c r="G5" s="1">
        <v>2.6710899999999999E-2</v>
      </c>
      <c r="H5" s="1">
        <v>0</v>
      </c>
      <c r="I5" s="1">
        <v>0</v>
      </c>
      <c r="J5" s="2">
        <v>-1.3562360000000001E-2</v>
      </c>
      <c r="K5" s="1">
        <v>0</v>
      </c>
      <c r="L5" s="2">
        <v>3.4332920000000003E-2</v>
      </c>
      <c r="M5" s="1">
        <v>0</v>
      </c>
    </row>
    <row r="6" spans="1:13" x14ac:dyDescent="0.25">
      <c r="A6">
        <v>5</v>
      </c>
      <c r="B6" s="1">
        <v>0.81974829999999999</v>
      </c>
      <c r="C6" s="1">
        <v>1.210766</v>
      </c>
      <c r="D6" s="1">
        <v>-0.1545028</v>
      </c>
      <c r="E6" s="1">
        <v>2.419454</v>
      </c>
      <c r="F6" s="1">
        <v>0.83418130000000001</v>
      </c>
      <c r="G6" s="1">
        <v>1.0280469999999999</v>
      </c>
      <c r="H6" s="1">
        <v>0</v>
      </c>
      <c r="I6" s="1">
        <v>0</v>
      </c>
      <c r="J6" s="2">
        <v>7.2010379999999999E-3</v>
      </c>
      <c r="K6" s="1">
        <v>0</v>
      </c>
      <c r="L6" s="2">
        <v>-1.3572219999999999E-3</v>
      </c>
      <c r="M6" s="1">
        <v>0</v>
      </c>
    </row>
    <row r="7" spans="1:13" x14ac:dyDescent="0.25">
      <c r="A7">
        <v>6</v>
      </c>
      <c r="B7" s="1">
        <v>-71.251540000000006</v>
      </c>
      <c r="C7" s="1">
        <v>82.592460000000003</v>
      </c>
      <c r="D7" s="1">
        <v>-48.411529999999999</v>
      </c>
      <c r="E7" s="1">
        <v>96.730029999999999</v>
      </c>
      <c r="F7" s="1">
        <v>86.142089999999996</v>
      </c>
      <c r="G7" s="1">
        <v>65.412700000000001</v>
      </c>
      <c r="H7" s="1">
        <v>0</v>
      </c>
      <c r="I7" s="1">
        <v>0</v>
      </c>
      <c r="J7" s="2">
        <v>-1.0953350000000001E-2</v>
      </c>
      <c r="K7" s="1">
        <v>0</v>
      </c>
      <c r="L7" s="2">
        <v>-7.4422020000000002E-3</v>
      </c>
      <c r="M7" s="1">
        <v>0</v>
      </c>
    </row>
    <row r="8" spans="1:13" x14ac:dyDescent="0.25">
      <c r="A8">
        <v>7</v>
      </c>
      <c r="B8" s="1">
        <v>-7119.2070000000003</v>
      </c>
      <c r="C8" s="1">
        <v>8310.1630000000005</v>
      </c>
      <c r="D8" s="1">
        <v>-4005.402</v>
      </c>
      <c r="E8" s="1">
        <v>7278.3249999999998</v>
      </c>
      <c r="F8" s="1">
        <v>8168.62</v>
      </c>
      <c r="G8" s="1">
        <v>4432.2169999999996</v>
      </c>
      <c r="H8" s="1">
        <v>0</v>
      </c>
      <c r="I8" s="1">
        <v>0</v>
      </c>
      <c r="J8" s="2">
        <v>-1.915236E-2</v>
      </c>
      <c r="K8" s="1">
        <v>0</v>
      </c>
      <c r="L8" s="2">
        <v>-1.077548E-2</v>
      </c>
      <c r="M8" s="1">
        <v>0</v>
      </c>
    </row>
    <row r="9" spans="1:13" x14ac:dyDescent="0.25">
      <c r="A9">
        <v>8</v>
      </c>
      <c r="B9" s="1">
        <v>317620.2</v>
      </c>
      <c r="C9" s="1">
        <v>315287.8</v>
      </c>
      <c r="D9" s="1">
        <v>141296.79999999999</v>
      </c>
      <c r="E9" s="1">
        <v>612502</v>
      </c>
      <c r="F9" s="1">
        <v>347631.1</v>
      </c>
      <c r="G9" s="1">
        <v>372671.7</v>
      </c>
      <c r="H9" s="1">
        <v>0</v>
      </c>
      <c r="I9" s="1">
        <v>0</v>
      </c>
      <c r="J9" s="2">
        <v>1.4953289999999999E-2</v>
      </c>
      <c r="K9" s="1">
        <v>0</v>
      </c>
      <c r="L9" s="2">
        <v>6.652135E-3</v>
      </c>
      <c r="M9" s="1">
        <v>0</v>
      </c>
    </row>
    <row r="10" spans="1:13" x14ac:dyDescent="0.25">
      <c r="A10">
        <v>9</v>
      </c>
      <c r="B10" s="1">
        <v>42428120</v>
      </c>
      <c r="C10" s="1">
        <v>26520450</v>
      </c>
      <c r="D10" s="1">
        <v>30085650</v>
      </c>
      <c r="E10" s="1">
        <v>25000270</v>
      </c>
      <c r="F10" s="1">
        <v>52012420</v>
      </c>
      <c r="G10" s="1">
        <v>20379680</v>
      </c>
      <c r="H10" s="1">
        <v>0</v>
      </c>
      <c r="I10" s="1">
        <v>0</v>
      </c>
      <c r="J10" s="2">
        <v>3.495591E-2</v>
      </c>
      <c r="K10" s="1">
        <v>0</v>
      </c>
      <c r="L10" s="2">
        <v>2.4787130000000001E-2</v>
      </c>
      <c r="M10" s="1">
        <v>0</v>
      </c>
    </row>
    <row r="11" spans="1:13" x14ac:dyDescent="0.25">
      <c r="A11">
        <v>10</v>
      </c>
      <c r="B11" s="1">
        <v>-1824531000</v>
      </c>
      <c r="C11" s="1">
        <v>2128615000</v>
      </c>
      <c r="D11" s="1">
        <v>2270527000</v>
      </c>
      <c r="E11" s="1">
        <v>1967885000</v>
      </c>
      <c r="F11" s="1">
        <v>2912766000</v>
      </c>
      <c r="G11" s="1">
        <v>1278585000</v>
      </c>
      <c r="H11" s="1">
        <v>0</v>
      </c>
      <c r="I11" s="1">
        <v>0</v>
      </c>
      <c r="J11" s="2">
        <v>-2.6306079999999999E-2</v>
      </c>
      <c r="K11" s="1">
        <v>0</v>
      </c>
      <c r="L11" s="2">
        <v>3.2736439999999999E-2</v>
      </c>
      <c r="M11" s="1">
        <v>0</v>
      </c>
    </row>
    <row r="12" spans="1:13" x14ac:dyDescent="0.25">
      <c r="A12">
        <v>11</v>
      </c>
      <c r="B12" s="1">
        <v>-137093500000</v>
      </c>
      <c r="C12" s="1">
        <v>123243700000</v>
      </c>
      <c r="D12" s="1">
        <v>42095850000</v>
      </c>
      <c r="E12" s="1">
        <v>96067000000</v>
      </c>
      <c r="F12" s="1">
        <v>143410900000</v>
      </c>
      <c r="G12" s="1">
        <v>72850110000</v>
      </c>
      <c r="H12" s="1">
        <v>0</v>
      </c>
      <c r="I12" s="1">
        <v>0</v>
      </c>
      <c r="J12" s="2">
        <v>-3.4590740000000002E-2</v>
      </c>
      <c r="K12" s="1">
        <v>0</v>
      </c>
      <c r="L12" s="2">
        <v>1.062141E-2</v>
      </c>
      <c r="M12" s="1">
        <v>0</v>
      </c>
    </row>
    <row r="13" spans="1:13" x14ac:dyDescent="0.25">
      <c r="A13">
        <v>12</v>
      </c>
      <c r="B13" s="1">
        <v>-20440780000000</v>
      </c>
      <c r="C13" s="1">
        <v>6320827000000</v>
      </c>
      <c r="D13" s="1">
        <v>-2814481000000</v>
      </c>
      <c r="E13" s="1">
        <v>6752919000000</v>
      </c>
      <c r="F13" s="1">
        <v>20633640000000</v>
      </c>
      <c r="G13" s="1">
        <v>5315428000000</v>
      </c>
      <c r="H13" s="1">
        <v>0</v>
      </c>
      <c r="I13" s="1">
        <v>0</v>
      </c>
      <c r="J13" s="2">
        <v>-9.0256500000000003E-2</v>
      </c>
      <c r="K13" s="1">
        <v>0</v>
      </c>
      <c r="L13" s="2">
        <v>-1.242737E-2</v>
      </c>
      <c r="M13" s="1">
        <v>0</v>
      </c>
    </row>
    <row r="14" spans="1:13" x14ac:dyDescent="0.25">
      <c r="A14">
        <v>13</v>
      </c>
      <c r="B14" s="1">
        <v>508907700000000</v>
      </c>
      <c r="C14" s="1">
        <v>399266600000000</v>
      </c>
      <c r="D14" s="1">
        <v>582356600000000</v>
      </c>
      <c r="E14" s="1">
        <v>379445000000000</v>
      </c>
      <c r="F14" s="1">
        <v>773386300000000</v>
      </c>
      <c r="G14" s="1">
        <v>296433200000000</v>
      </c>
      <c r="H14" s="1">
        <v>0</v>
      </c>
      <c r="I14" s="1">
        <v>0</v>
      </c>
      <c r="J14" s="2">
        <v>3.9324030000000003E-2</v>
      </c>
      <c r="K14" s="1">
        <v>0</v>
      </c>
      <c r="L14" s="2">
        <v>4.4999530000000003E-2</v>
      </c>
      <c r="M14" s="1">
        <v>0</v>
      </c>
    </row>
    <row r="15" spans="1:13" x14ac:dyDescent="0.25">
      <c r="A15">
        <v>14</v>
      </c>
      <c r="B15" s="1">
        <v>-1.777928E+16</v>
      </c>
      <c r="C15" s="1">
        <v>2.879268E+16</v>
      </c>
      <c r="D15" s="1">
        <v>2.719158E+16</v>
      </c>
      <c r="E15" s="1">
        <v>2.377085E+16</v>
      </c>
      <c r="F15" s="1">
        <v>3.248823E+16</v>
      </c>
      <c r="G15" s="1">
        <v>1.821346E+16</v>
      </c>
      <c r="H15" s="1">
        <v>0</v>
      </c>
      <c r="I15" s="1">
        <v>0</v>
      </c>
      <c r="J15" s="2">
        <v>-2.4042029999999999E-2</v>
      </c>
      <c r="K15" s="1">
        <v>0</v>
      </c>
      <c r="L15" s="2">
        <v>3.6769820000000002E-2</v>
      </c>
      <c r="M15" s="1">
        <v>0</v>
      </c>
    </row>
    <row r="16" spans="1:13" x14ac:dyDescent="0.25">
      <c r="A16">
        <v>15</v>
      </c>
      <c r="B16" s="1">
        <v>8.172176E+17</v>
      </c>
      <c r="C16" s="1">
        <v>1.690316E+18</v>
      </c>
      <c r="D16" s="1">
        <v>-7.066464E+17</v>
      </c>
      <c r="E16" s="1">
        <v>1.508485E+18</v>
      </c>
      <c r="F16" s="1">
        <v>1.080367E+18</v>
      </c>
      <c r="G16" s="1">
        <v>1.12863E+18</v>
      </c>
      <c r="H16" s="1">
        <v>0</v>
      </c>
      <c r="I16" s="1">
        <v>0</v>
      </c>
      <c r="J16" s="2">
        <v>1.9338950000000001E-2</v>
      </c>
      <c r="K16" s="1">
        <v>0</v>
      </c>
      <c r="L16" s="2">
        <v>-1.672235E-2</v>
      </c>
      <c r="M16" s="1">
        <v>0</v>
      </c>
    </row>
    <row r="18" spans="1:10" ht="18.75" x14ac:dyDescent="0.3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 t="s">
        <v>14</v>
      </c>
      <c r="B19" s="4" t="s">
        <v>15</v>
      </c>
      <c r="C19" s="5" t="s">
        <v>16</v>
      </c>
      <c r="D19" s="6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7"/>
      <c r="J19" s="8"/>
    </row>
    <row r="20" spans="1:10" x14ac:dyDescent="0.25">
      <c r="A20" s="9">
        <f>B3</f>
        <v>6.10098E-4</v>
      </c>
      <c r="B20" s="10">
        <f>C3</f>
        <v>3.505333E-6</v>
      </c>
      <c r="C20" s="11">
        <f>B2/B3/0.000001</f>
        <v>-41327.24578674246</v>
      </c>
      <c r="D20" s="12">
        <f>C2/B3/0.000001</f>
        <v>237.27056964618802</v>
      </c>
      <c r="E20" s="11">
        <f>D2/B3/0.000001</f>
        <v>3829.2946379106306</v>
      </c>
      <c r="F20" s="11">
        <f>E2/B3/0.000001</f>
        <v>375.81732770800755</v>
      </c>
      <c r="G20" s="10">
        <f>H3</f>
        <v>-5.3818739999999997E-2</v>
      </c>
      <c r="H20" s="10">
        <f>I3</f>
        <v>2.7093470000000001E-2</v>
      </c>
      <c r="I20" s="13"/>
      <c r="J20" s="14"/>
    </row>
    <row r="21" spans="1:10" x14ac:dyDescent="0.25">
      <c r="A21" s="15"/>
      <c r="B21" s="15"/>
      <c r="C21" s="15"/>
      <c r="D21" s="16"/>
      <c r="E21" s="15"/>
      <c r="F21" s="15"/>
      <c r="G21" s="15"/>
      <c r="H21" s="15"/>
      <c r="I21" s="13"/>
      <c r="J21" s="14"/>
    </row>
    <row r="22" spans="1:10" x14ac:dyDescent="0.25">
      <c r="A22" s="5" t="s">
        <v>22</v>
      </c>
      <c r="B22" s="5" t="s">
        <v>23</v>
      </c>
      <c r="C22" s="6" t="s">
        <v>24</v>
      </c>
      <c r="D22" s="17"/>
      <c r="E22" s="13"/>
      <c r="F22" s="18"/>
      <c r="G22" s="13"/>
      <c r="H22" s="13"/>
      <c r="I22" s="13"/>
      <c r="J22" s="14"/>
    </row>
    <row r="23" spans="1:10" x14ac:dyDescent="0.25">
      <c r="A23" s="15">
        <v>-1.7500000000000002E-2</v>
      </c>
      <c r="B23" s="19">
        <f>( ($B$4/$B$3)*A23^($A$4-1)+ ($B$5/$B$3)*A23^($A$5-1)+ ($B$6/$B$3)*A23^($A$6-1)+ ($B$7/$B$3)*A23^($A$7-1)+ ($B$8/$B$3)*A23^($A$8-1)+ ($B$9/$B$3)*A23^($A$9-1)+ ($B$10/$B$3)*A23^($A$10-1) + ($B$11/$B$3)*A23^($A$11-1)+ ($B$12/$B$3)*A23^($A$12-1)+ ($B$13/$B$3)*A23^($A$13-1)+ ($B$14/$B$3)*A23^($A$14-1)+ ($B$15/$B$3)*A23^($A$15-1)+ ($B$16/$B$3)*A23^($A$16-1) ) /A23^($A$3-1)</f>
        <v>-0.50432349722998371</v>
      </c>
      <c r="C23" s="20">
        <f>( ($D$4/$B$3)*A23^($A$4-1)+ ($D$5/$B$3)*A23^($A$5-1)+ ($D$6/$B$3)*A23^($A$6-1)+ ($D$7/$B$3)*A23^($A$7-1)+ ($D$8/$B$3)*A23^($A$8-1)+ ($D$9/$B$3)*A23^($A$9-1)+ ($D$10/$B$3)*A23^($A$10-1) + ($D$11/$B$3)*A23^($A$11-1)+ ($D$12/$B$3)*A23^($A$12-1)+ ($D$13/$B$3)*A23^($A$13-1)+ ($D$14/$B$3)*A23^($A$14-1)+ ($D$15/$B$3)*A23^($A$15-1)+ ($D$16/$B$3)*A23^($A$16-1) ) /A23^($A$3-1)</f>
        <v>2.4916238919516696E-2</v>
      </c>
      <c r="D23" s="17"/>
      <c r="E23" s="13"/>
      <c r="F23" s="13"/>
      <c r="G23" s="13"/>
      <c r="H23" s="13"/>
      <c r="I23" s="13"/>
      <c r="J23" s="14"/>
    </row>
    <row r="24" spans="1:10" x14ac:dyDescent="0.25">
      <c r="A24" s="15">
        <f>A23+0.001</f>
        <v>-1.6500000000000001E-2</v>
      </c>
      <c r="B24" s="19">
        <f t="shared" ref="B24:B58" si="0">( ($B$4/$B$3)*A24^($A$4-1)+ ($B$5/$B$3)*A24^($A$5-1)+ ($B$6/$B$3)*A24^($A$6-1)+ ($B$7/$B$3)*A24^($A$7-1)+ ($B$8/$B$3)*A24^($A$8-1)+ ($B$9/$B$3)*A24^($A$9-1)+ ($B$10/$B$3)*A24^($A$10-1) + ($B$11/$B$3)*A24^($A$11-1)+ ($B$12/$B$3)*A24^($A$12-1)+ ($B$13/$B$3)*A24^($A$13-1)+ ($B$14/$B$3)*A24^($A$14-1)+ ($B$15/$B$3)*A24^($A$15-1)+ ($B$16/$B$3)*A24^($A$16-1) ) /A24^($A$3-1)</f>
        <v>-0.40228308213135183</v>
      </c>
      <c r="C24" s="20">
        <f t="shared" ref="C24:C58" si="1">( ($D$4/$B$3)*A24^($A$4-1)+ ($D$5/$B$3)*A24^($A$5-1)+ ($D$6/$B$3)*A24^($A$6-1)+ ($D$7/$B$3)*A24^($A$7-1)+ ($D$8/$B$3)*A24^($A$8-1)+ ($D$9/$B$3)*A24^($A$9-1)+ ($D$10/$B$3)*A24^($A$10-1) + ($D$11/$B$3)*A24^($A$11-1)+ ($D$12/$B$3)*A24^($A$12-1)+ ($D$13/$B$3)*A24^($A$13-1)+ ($D$14/$B$3)*A24^($A$14-1)+ ($D$15/$B$3)*A24^($A$15-1)+ ($D$16/$B$3)*A24^($A$16-1) ) /A24^($A$3-1)</f>
        <v>1.838230099261277E-2</v>
      </c>
      <c r="D24" s="17"/>
      <c r="E24" s="13"/>
      <c r="F24" s="13"/>
      <c r="G24" s="13"/>
      <c r="H24" s="13"/>
      <c r="I24" s="13"/>
      <c r="J24" s="14"/>
    </row>
    <row r="25" spans="1:10" x14ac:dyDescent="0.25">
      <c r="A25" s="15">
        <f t="shared" ref="A25:A58" si="2">A24+0.001</f>
        <v>-1.55E-2</v>
      </c>
      <c r="B25" s="19">
        <f t="shared" si="0"/>
        <v>-0.33677954813639766</v>
      </c>
      <c r="C25" s="20">
        <f t="shared" si="1"/>
        <v>1.4571470551063158E-2</v>
      </c>
      <c r="D25" s="17"/>
      <c r="E25" s="13"/>
      <c r="F25" s="13"/>
      <c r="G25" s="13"/>
      <c r="H25" s="13"/>
      <c r="I25" s="13"/>
      <c r="J25" s="14"/>
    </row>
    <row r="26" spans="1:10" x14ac:dyDescent="0.25">
      <c r="A26" s="15">
        <f t="shared" si="2"/>
        <v>-1.4499999999999999E-2</v>
      </c>
      <c r="B26" s="19">
        <f t="shared" si="0"/>
        <v>-0.2924672962730685</v>
      </c>
      <c r="C26" s="20">
        <f t="shared" si="1"/>
        <v>1.185977495186036E-2</v>
      </c>
      <c r="D26" s="17"/>
      <c r="E26" s="13"/>
      <c r="F26" s="13"/>
      <c r="G26" s="13"/>
      <c r="H26" s="13"/>
      <c r="I26" s="13"/>
      <c r="J26" s="14"/>
    </row>
    <row r="27" spans="1:10" x14ac:dyDescent="0.25">
      <c r="A27" s="15">
        <f t="shared" si="2"/>
        <v>-1.3499999999999998E-2</v>
      </c>
      <c r="B27" s="19">
        <f t="shared" si="0"/>
        <v>-0.26012905370067485</v>
      </c>
      <c r="C27" s="20">
        <f t="shared" si="1"/>
        <v>9.5831112739652551E-3</v>
      </c>
      <c r="D27" s="17"/>
      <c r="E27" s="13"/>
      <c r="F27" s="13"/>
      <c r="G27" s="13"/>
      <c r="H27" s="13"/>
      <c r="I27" s="13"/>
      <c r="J27" s="14"/>
    </row>
    <row r="28" spans="1:10" x14ac:dyDescent="0.25">
      <c r="A28" s="15">
        <f t="shared" si="2"/>
        <v>-1.2499999999999997E-2</v>
      </c>
      <c r="B28" s="19">
        <f t="shared" si="0"/>
        <v>-0.2343741804605671</v>
      </c>
      <c r="C28" s="20">
        <f t="shared" si="1"/>
        <v>7.5233619473230318E-3</v>
      </c>
      <c r="D28" s="17"/>
      <c r="E28" s="13"/>
      <c r="F28" s="13"/>
      <c r="G28" s="13"/>
      <c r="H28" s="13"/>
      <c r="I28" s="13"/>
      <c r="J28" s="14"/>
    </row>
    <row r="29" spans="1:10" x14ac:dyDescent="0.25">
      <c r="A29" s="15">
        <f t="shared" si="2"/>
        <v>-1.1499999999999996E-2</v>
      </c>
      <c r="B29" s="19">
        <f t="shared" si="0"/>
        <v>-0.21214284095995378</v>
      </c>
      <c r="C29" s="20">
        <f t="shared" si="1"/>
        <v>5.6424919769365858E-3</v>
      </c>
      <c r="D29" s="17"/>
      <c r="E29" s="13"/>
      <c r="F29" s="13"/>
      <c r="G29" s="13"/>
      <c r="H29" s="13"/>
      <c r="I29" s="13"/>
      <c r="J29" s="14"/>
    </row>
    <row r="30" spans="1:10" x14ac:dyDescent="0.25">
      <c r="A30" s="15">
        <f t="shared" si="2"/>
        <v>-1.0499999999999995E-2</v>
      </c>
      <c r="B30" s="19">
        <f t="shared" si="0"/>
        <v>-0.1917560820334665</v>
      </c>
      <c r="C30" s="20">
        <f t="shared" si="1"/>
        <v>3.9576767176094088E-3</v>
      </c>
      <c r="D30" s="17"/>
      <c r="E30" s="13"/>
      <c r="F30" s="13"/>
      <c r="G30" s="13"/>
      <c r="H30" s="13"/>
      <c r="I30" s="13"/>
      <c r="J30" s="14"/>
    </row>
    <row r="31" spans="1:10" x14ac:dyDescent="0.25">
      <c r="A31" s="15">
        <f t="shared" si="2"/>
        <v>-9.4999999999999946E-3</v>
      </c>
      <c r="B31" s="19">
        <f t="shared" si="0"/>
        <v>-0.17232785920610677</v>
      </c>
      <c r="C31" s="20">
        <f t="shared" si="1"/>
        <v>2.4911316976008284E-3</v>
      </c>
      <c r="D31" s="17"/>
      <c r="E31" s="13"/>
      <c r="F31" s="13"/>
      <c r="G31" s="13"/>
      <c r="H31" s="13"/>
      <c r="I31" s="13"/>
      <c r="J31" s="14"/>
    </row>
    <row r="32" spans="1:10" x14ac:dyDescent="0.25">
      <c r="A32" s="15">
        <f t="shared" si="2"/>
        <v>-8.4999999999999937E-3</v>
      </c>
      <c r="B32" s="19">
        <f t="shared" si="0"/>
        <v>-0.15341135720047977</v>
      </c>
      <c r="C32" s="20">
        <f t="shared" si="1"/>
        <v>1.2556816707377392E-3</v>
      </c>
      <c r="D32" s="17"/>
      <c r="E32" s="13"/>
      <c r="F32" s="13"/>
      <c r="G32" s="13"/>
      <c r="H32" s="13"/>
      <c r="I32" s="13"/>
      <c r="J32" s="14"/>
    </row>
    <row r="33" spans="1:10" x14ac:dyDescent="0.25">
      <c r="A33" s="15">
        <f t="shared" si="2"/>
        <v>-7.4999999999999937E-3</v>
      </c>
      <c r="B33" s="19">
        <f t="shared" si="0"/>
        <v>-0.13479295254335483</v>
      </c>
      <c r="C33" s="20">
        <f t="shared" si="1"/>
        <v>2.5478401593554529E-4</v>
      </c>
      <c r="D33" s="17"/>
      <c r="E33" s="13"/>
      <c r="F33" s="13"/>
      <c r="G33" s="13"/>
      <c r="H33" s="13"/>
      <c r="I33" s="13"/>
      <c r="J33" s="14"/>
    </row>
    <row r="34" spans="1:10" x14ac:dyDescent="0.25">
      <c r="A34" s="15">
        <f t="shared" si="2"/>
        <v>-6.4999999999999936E-3</v>
      </c>
      <c r="B34" s="19">
        <f t="shared" si="0"/>
        <v>-0.11637645290567199</v>
      </c>
      <c r="C34" s="20">
        <f t="shared" si="1"/>
        <v>-5.1345976498296214E-4</v>
      </c>
      <c r="D34" s="17"/>
      <c r="E34" s="13"/>
      <c r="F34" s="13"/>
      <c r="G34" s="13"/>
      <c r="H34" s="13"/>
      <c r="I34" s="13"/>
      <c r="J34" s="14"/>
    </row>
    <row r="35" spans="1:10" x14ac:dyDescent="0.25">
      <c r="A35" s="15">
        <f t="shared" si="2"/>
        <v>-5.4999999999999936E-3</v>
      </c>
      <c r="B35" s="19">
        <f t="shared" si="0"/>
        <v>-9.8120711832179366E-2</v>
      </c>
      <c r="C35" s="20">
        <f t="shared" si="1"/>
        <v>-1.0526193345170068E-3</v>
      </c>
      <c r="D35" s="17"/>
      <c r="E35" s="13"/>
      <c r="F35" s="13"/>
      <c r="G35" s="13"/>
      <c r="H35" s="13"/>
      <c r="I35" s="13"/>
      <c r="J35" s="14"/>
    </row>
    <row r="36" spans="1:10" x14ac:dyDescent="0.25">
      <c r="A36" s="15">
        <f t="shared" si="2"/>
        <v>-4.4999999999999936E-3</v>
      </c>
      <c r="B36" s="19">
        <f t="shared" si="0"/>
        <v>-8.0007657299330737E-2</v>
      </c>
      <c r="C36" s="20">
        <f t="shared" si="1"/>
        <v>-1.3657556478784958E-3</v>
      </c>
      <c r="D36" s="17"/>
      <c r="E36" s="13"/>
      <c r="F36" s="13"/>
      <c r="G36" s="13"/>
      <c r="H36" s="13"/>
      <c r="I36" s="13"/>
      <c r="J36" s="14"/>
    </row>
    <row r="37" spans="1:10" x14ac:dyDescent="0.25">
      <c r="A37" s="15">
        <f t="shared" si="2"/>
        <v>-3.4999999999999936E-3</v>
      </c>
      <c r="B37" s="19">
        <f t="shared" si="0"/>
        <v>-6.2026986040206636E-2</v>
      </c>
      <c r="C37" s="20">
        <f t="shared" si="1"/>
        <v>-1.454598408980341E-3</v>
      </c>
      <c r="D37" s="17"/>
      <c r="E37" s="13"/>
      <c r="F37" s="13"/>
      <c r="G37" s="13"/>
      <c r="H37" s="13"/>
      <c r="I37" s="13"/>
      <c r="J37" s="14"/>
    </row>
    <row r="38" spans="1:10" x14ac:dyDescent="0.25">
      <c r="A38" s="15">
        <f t="shared" si="2"/>
        <v>-2.4999999999999935E-3</v>
      </c>
      <c r="B38" s="19">
        <f t="shared" si="0"/>
        <v>-4.4169645047650911E-2</v>
      </c>
      <c r="C38" s="20">
        <f t="shared" si="1"/>
        <v>-1.3195825394757184E-3</v>
      </c>
      <c r="D38" s="17"/>
      <c r="E38" s="13"/>
      <c r="F38" s="13"/>
      <c r="G38" s="13"/>
      <c r="H38" s="13"/>
      <c r="I38" s="13"/>
      <c r="J38" s="14"/>
    </row>
    <row r="39" spans="1:10" x14ac:dyDescent="0.25">
      <c r="A39" s="15">
        <f t="shared" si="2"/>
        <v>-1.4999999999999935E-3</v>
      </c>
      <c r="B39" s="19">
        <f t="shared" si="0"/>
        <v>-2.6425790179942801E-2</v>
      </c>
      <c r="C39" s="20">
        <f t="shared" si="1"/>
        <v>-9.6032417516209699E-4</v>
      </c>
      <c r="D39" s="17"/>
      <c r="E39" s="13"/>
      <c r="F39" s="13"/>
      <c r="G39" s="13"/>
      <c r="H39" s="13"/>
      <c r="I39" s="13"/>
      <c r="J39" s="14"/>
    </row>
    <row r="40" spans="1:10" x14ac:dyDescent="0.25">
      <c r="A40" s="15">
        <f t="shared" si="2"/>
        <v>-4.9999999999999351E-4</v>
      </c>
      <c r="B40" s="19">
        <f t="shared" si="0"/>
        <v>-8.7849514047890608E-3</v>
      </c>
      <c r="C40" s="20">
        <f t="shared" si="1"/>
        <v>-3.7630314428224227E-4</v>
      </c>
      <c r="D40" s="17"/>
      <c r="E40" s="13"/>
      <c r="F40" s="13"/>
      <c r="G40" s="13"/>
      <c r="H40" s="13"/>
      <c r="I40" s="13"/>
      <c r="J40" s="14"/>
    </row>
    <row r="41" spans="1:10" x14ac:dyDescent="0.25">
      <c r="A41" s="15">
        <f t="shared" si="2"/>
        <v>5.0000000000000652E-4</v>
      </c>
      <c r="B41" s="19">
        <f t="shared" si="0"/>
        <v>8.7627941914708348E-3</v>
      </c>
      <c r="C41" s="20">
        <f t="shared" si="1"/>
        <v>4.3234698148874738E-4</v>
      </c>
      <c r="D41" s="17"/>
      <c r="E41" s="13"/>
      <c r="F41" s="13"/>
      <c r="G41" s="13"/>
      <c r="H41" s="13"/>
      <c r="I41" s="13"/>
      <c r="J41" s="14"/>
    </row>
    <row r="42" spans="1:10" x14ac:dyDescent="0.25">
      <c r="A42" s="15">
        <f t="shared" si="2"/>
        <v>1.5000000000000065E-3</v>
      </c>
      <c r="B42" s="19">
        <f t="shared" si="0"/>
        <v>2.6225335733377337E-2</v>
      </c>
      <c r="C42" s="20">
        <f t="shared" si="1"/>
        <v>1.4640099571859532E-3</v>
      </c>
      <c r="D42" s="17"/>
      <c r="E42" s="13"/>
      <c r="F42" s="13"/>
      <c r="G42" s="13"/>
      <c r="H42" s="13"/>
      <c r="I42" s="13"/>
      <c r="J42" s="14"/>
    </row>
    <row r="43" spans="1:10" x14ac:dyDescent="0.25">
      <c r="A43" s="15">
        <f t="shared" si="2"/>
        <v>2.5000000000000066E-3</v>
      </c>
      <c r="B43" s="19">
        <f t="shared" si="0"/>
        <v>4.3607199713299384E-2</v>
      </c>
      <c r="C43" s="20">
        <f t="shared" si="1"/>
        <v>2.714851365885436E-3</v>
      </c>
      <c r="D43" s="17"/>
      <c r="E43" s="13"/>
      <c r="F43" s="13"/>
      <c r="G43" s="13"/>
      <c r="H43" s="13"/>
      <c r="I43" s="13"/>
      <c r="J43" s="14"/>
    </row>
    <row r="44" spans="1:10" x14ac:dyDescent="0.25">
      <c r="A44" s="15">
        <f t="shared" si="2"/>
        <v>3.5000000000000066E-3</v>
      </c>
      <c r="B44" s="19">
        <f t="shared" si="0"/>
        <v>6.0908707054350704E-2</v>
      </c>
      <c r="C44" s="20">
        <f t="shared" si="1"/>
        <v>4.178433893662882E-3</v>
      </c>
      <c r="D44" s="17"/>
      <c r="E44" s="13"/>
      <c r="F44" s="13"/>
      <c r="G44" s="13"/>
      <c r="H44" s="13"/>
      <c r="I44" s="13"/>
      <c r="J44" s="14"/>
    </row>
    <row r="45" spans="1:10" x14ac:dyDescent="0.25">
      <c r="A45" s="15">
        <f t="shared" si="2"/>
        <v>4.5000000000000066E-3</v>
      </c>
      <c r="B45" s="19">
        <f t="shared" si="0"/>
        <v>7.8125732252319502E-2</v>
      </c>
      <c r="C45" s="20">
        <f t="shared" si="1"/>
        <v>5.8461045947541352E-3</v>
      </c>
      <c r="D45" s="17"/>
      <c r="E45" s="13"/>
      <c r="F45" s="13"/>
      <c r="G45" s="13"/>
      <c r="H45" s="13"/>
      <c r="I45" s="13"/>
      <c r="J45" s="14"/>
    </row>
    <row r="46" spans="1:10" x14ac:dyDescent="0.25">
      <c r="A46" s="15">
        <f t="shared" si="2"/>
        <v>5.5000000000000066E-3</v>
      </c>
      <c r="B46" s="19">
        <f t="shared" si="0"/>
        <v>9.5249789787739181E-2</v>
      </c>
      <c r="C46" s="20">
        <f t="shared" si="1"/>
        <v>7.7087903010564082E-3</v>
      </c>
      <c r="D46" s="17"/>
      <c r="E46" s="13"/>
      <c r="F46" s="13"/>
      <c r="G46" s="13"/>
      <c r="H46" s="13"/>
      <c r="I46" s="13"/>
      <c r="J46" s="14"/>
    </row>
    <row r="47" spans="1:10" x14ac:dyDescent="0.25">
      <c r="A47" s="15">
        <f t="shared" si="2"/>
        <v>6.5000000000000066E-3</v>
      </c>
      <c r="B47" s="19">
        <f t="shared" si="0"/>
        <v>0.11226751969053939</v>
      </c>
      <c r="C47" s="20">
        <f t="shared" si="1"/>
        <v>9.7611680913337762E-3</v>
      </c>
      <c r="D47" s="17"/>
      <c r="E47" s="13"/>
      <c r="F47" s="13"/>
      <c r="G47" s="13"/>
      <c r="H47" s="13"/>
      <c r="I47" s="13"/>
      <c r="J47" s="14"/>
    </row>
    <row r="48" spans="1:10" x14ac:dyDescent="0.25">
      <c r="A48" s="15">
        <f t="shared" si="2"/>
        <v>7.5000000000000067E-3</v>
      </c>
      <c r="B48" s="19">
        <f t="shared" si="0"/>
        <v>0.12915767113729995</v>
      </c>
      <c r="C48" s="20">
        <f t="shared" si="1"/>
        <v>1.200975214920078E-2</v>
      </c>
      <c r="D48" s="17"/>
      <c r="E48" s="13"/>
      <c r="F48" s="13"/>
      <c r="G48" s="13"/>
      <c r="H48" s="13"/>
      <c r="I48" s="13"/>
      <c r="J48" s="14"/>
    </row>
    <row r="49" spans="1:10" x14ac:dyDescent="0.25">
      <c r="A49" s="15">
        <f t="shared" si="2"/>
        <v>8.5000000000000075E-3</v>
      </c>
      <c r="B49" s="19">
        <f t="shared" si="0"/>
        <v>0.14588236567502696</v>
      </c>
      <c r="C49" s="20">
        <f t="shared" si="1"/>
        <v>1.4487450620165534E-2</v>
      </c>
      <c r="D49" s="17"/>
      <c r="E49" s="13"/>
      <c r="F49" s="13"/>
      <c r="G49" s="13"/>
      <c r="H49" s="13"/>
      <c r="I49" s="13"/>
      <c r="J49" s="14"/>
    </row>
    <row r="50" spans="1:10" x14ac:dyDescent="0.25">
      <c r="A50" s="15">
        <f t="shared" si="2"/>
        <v>9.5000000000000084E-3</v>
      </c>
      <c r="B50" s="19">
        <f t="shared" si="0"/>
        <v>0.16236778351720979</v>
      </c>
      <c r="C50" s="20">
        <f t="shared" si="1"/>
        <v>1.7278852933057292E-2</v>
      </c>
      <c r="D50" s="17"/>
      <c r="E50" s="13"/>
      <c r="F50" s="13"/>
      <c r="G50" s="13"/>
      <c r="H50" s="13"/>
      <c r="I50" s="13"/>
      <c r="J50" s="14"/>
    </row>
    <row r="51" spans="1:10" x14ac:dyDescent="0.25">
      <c r="A51" s="15">
        <f t="shared" si="2"/>
        <v>1.0500000000000009E-2</v>
      </c>
      <c r="B51" s="19">
        <f t="shared" si="0"/>
        <v>0.17846755235656403</v>
      </c>
      <c r="C51" s="20">
        <f t="shared" si="1"/>
        <v>2.0563217570398473E-2</v>
      </c>
      <c r="D51" s="17"/>
      <c r="E51" s="13"/>
      <c r="F51" s="13"/>
      <c r="G51" s="13"/>
      <c r="H51" s="13"/>
      <c r="I51" s="13"/>
      <c r="J51" s="14"/>
    </row>
    <row r="52" spans="1:10" x14ac:dyDescent="0.25">
      <c r="A52" s="15">
        <f t="shared" si="2"/>
        <v>1.150000000000001E-2</v>
      </c>
      <c r="B52" s="19">
        <f t="shared" si="0"/>
        <v>0.19390022679699423</v>
      </c>
      <c r="C52" s="20">
        <f t="shared" si="1"/>
        <v>2.4686183610318047E-2</v>
      </c>
      <c r="D52" s="17"/>
      <c r="E52" s="13"/>
      <c r="F52" s="13"/>
      <c r="G52" s="13"/>
      <c r="H52" s="13"/>
      <c r="I52" s="13"/>
      <c r="J52" s="14"/>
    </row>
    <row r="53" spans="1:10" x14ac:dyDescent="0.25">
      <c r="A53" s="15">
        <f t="shared" si="2"/>
        <v>1.2500000000000011E-2</v>
      </c>
      <c r="B53" s="19">
        <f t="shared" si="0"/>
        <v>0.20815067009909374</v>
      </c>
      <c r="C53" s="20">
        <f t="shared" si="1"/>
        <v>3.0276975206094982E-2</v>
      </c>
      <c r="D53" s="17"/>
      <c r="E53" s="13"/>
      <c r="F53" s="13"/>
      <c r="G53" s="13"/>
      <c r="H53" s="13"/>
      <c r="I53" s="13"/>
      <c r="J53" s="14"/>
    </row>
    <row r="54" spans="1:10" x14ac:dyDescent="0.25">
      <c r="A54" s="15">
        <f t="shared" si="2"/>
        <v>1.3500000000000012E-2</v>
      </c>
      <c r="B54" s="19">
        <f t="shared" si="0"/>
        <v>0.2203244230931749</v>
      </c>
      <c r="C54" s="20">
        <f t="shared" si="1"/>
        <v>3.8435629992400952E-2</v>
      </c>
      <c r="D54" s="17"/>
      <c r="E54" s="13"/>
      <c r="F54" s="13"/>
      <c r="G54" s="13"/>
      <c r="H54" s="13"/>
      <c r="I54" s="13"/>
      <c r="J54" s="14"/>
    </row>
    <row r="55" spans="1:10" x14ac:dyDescent="0.25">
      <c r="A55" s="15">
        <f t="shared" si="2"/>
        <v>1.4500000000000013E-2</v>
      </c>
      <c r="B55" s="19">
        <f t="shared" si="0"/>
        <v>0.22894505177539148</v>
      </c>
      <c r="C55" s="20">
        <f t="shared" si="1"/>
        <v>5.1024818514080091E-2</v>
      </c>
      <c r="D55" s="17"/>
      <c r="E55" s="13"/>
      <c r="F55" s="13"/>
      <c r="G55" s="13"/>
      <c r="H55" s="13"/>
      <c r="I55" s="13"/>
      <c r="J55" s="14"/>
    </row>
    <row r="56" spans="1:10" x14ac:dyDescent="0.25">
      <c r="A56" s="15">
        <f t="shared" si="2"/>
        <v>1.5500000000000014E-2</v>
      </c>
      <c r="B56" s="19">
        <f t="shared" si="0"/>
        <v>0.23168810378034638</v>
      </c>
      <c r="C56" s="20">
        <f t="shared" si="1"/>
        <v>7.111327812886066E-2</v>
      </c>
      <c r="D56" s="17"/>
      <c r="E56" s="13"/>
      <c r="F56" s="13"/>
      <c r="G56" s="13"/>
      <c r="H56" s="13"/>
      <c r="I56" s="13"/>
      <c r="J56" s="14"/>
    </row>
    <row r="57" spans="1:10" x14ac:dyDescent="0.25">
      <c r="A57" s="15">
        <f t="shared" si="2"/>
        <v>1.6500000000000015E-2</v>
      </c>
      <c r="B57" s="19">
        <f t="shared" si="0"/>
        <v>0.22505316133406525</v>
      </c>
      <c r="C57" s="20">
        <f t="shared" si="1"/>
        <v>0.10363274068342684</v>
      </c>
      <c r="D57" s="17"/>
      <c r="E57" s="13"/>
      <c r="F57" s="13"/>
      <c r="G57" s="13"/>
      <c r="H57" s="13"/>
      <c r="I57" s="13"/>
      <c r="J57" s="14"/>
    </row>
    <row r="58" spans="1:10" x14ac:dyDescent="0.25">
      <c r="A58" s="15">
        <f t="shared" si="2"/>
        <v>1.7500000000000016E-2</v>
      </c>
      <c r="B58" s="19">
        <f t="shared" si="0"/>
        <v>0.20398951131547929</v>
      </c>
      <c r="C58" s="20">
        <f t="shared" si="1"/>
        <v>0.15632723953069375</v>
      </c>
      <c r="D58" s="21"/>
      <c r="E58" s="22"/>
      <c r="F58" s="22"/>
      <c r="G58" s="22"/>
      <c r="H58" s="22"/>
      <c r="I58" s="22"/>
      <c r="J58" s="23"/>
    </row>
  </sheetData>
  <mergeCells count="1">
    <mergeCell ref="A18:J1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Ciclagem7 BQF10 (3) - Oficial</vt:lpstr>
      <vt:lpstr>Ciclagem10 BQF10</vt:lpstr>
      <vt:lpstr>Ciclagem9 BQF10</vt:lpstr>
      <vt:lpstr>Ciclagem8 BQF10 (4)</vt:lpstr>
      <vt:lpstr>Ciclagem8 BQF10 (3)</vt:lpstr>
      <vt:lpstr>Ciclagem8 BQF10 (2)</vt:lpstr>
      <vt:lpstr>Ciclagem8 BQF10</vt:lpstr>
      <vt:lpstr>Ciclagem7 BQF10 (2)</vt:lpstr>
      <vt:lpstr>Ciclagem7 BQF10</vt:lpstr>
      <vt:lpstr>Ciclagem6 BQF10</vt:lpstr>
      <vt:lpstr>Ciclagem5 BQF10 (3)</vt:lpstr>
      <vt:lpstr>Ciclagem5 BQF10 (2)</vt:lpstr>
      <vt:lpstr>Ciclagem5 BQF10</vt:lpstr>
      <vt:lpstr>Ciclagem4 BQF10</vt:lpstr>
      <vt:lpstr>Ciclagem3 BQF10 (2)</vt:lpstr>
      <vt:lpstr>Ciclagem3 BQF10</vt:lpstr>
      <vt:lpstr>Original - Ciclagem1 BQF10 (3)</vt:lpstr>
      <vt:lpstr>Ciclagem2 BQF10 (2)</vt:lpstr>
      <vt:lpstr>Ciclagem2 BQF10</vt:lpstr>
      <vt:lpstr>Original - Ciclagem1 BQF10 (2)</vt:lpstr>
      <vt:lpstr>Original - Ciclagem1 BQF10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labimas</dc:creator>
  <cp:lastModifiedBy>labimas</cp:lastModifiedBy>
  <dcterms:created xsi:type="dcterms:W3CDTF">2015-11-05T12:03:59Z</dcterms:created>
  <dcterms:modified xsi:type="dcterms:W3CDTF">2015-11-09T16:20:40Z</dcterms:modified>
</cp:coreProperties>
</file>